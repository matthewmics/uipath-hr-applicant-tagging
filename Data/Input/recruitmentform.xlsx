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defaultThemeVersion="166925"/>
  <mc:AlternateContent xmlns:mc="http://schemas.openxmlformats.org/markup-compatibility/2006">
    <mc:Choice Requires="x15">
      <x15ac:absPath xmlns:x15ac="http://schemas.microsoft.com/office/spreadsheetml/2010/11/ac" url="\\connext.solutions\Shared\Users\dyambao\Documents\BA- Project\"/>
    </mc:Choice>
  </mc:AlternateContent>
  <xr:revisionPtr revIDLastSave="0" documentId="13_ncr:1_{E13ADB41-4402-4BF8-A233-7CD7335D6C71}" xr6:coauthVersionLast="47" xr6:coauthVersionMax="47" xr10:uidLastSave="{00000000-0000-0000-0000-000000000000}"/>
  <bookViews>
    <workbookView xWindow="-120" yWindow="-120" windowWidth="29040" windowHeight="15840" tabRatio="718" xr2:uid="{8C155AE5-D2D2-4E80-9FF6-C1673DE166FB}"/>
  </bookViews>
  <sheets>
    <sheet name="For HR use only" sheetId="1" r:id="rId1"/>
    <sheet name="How to" sheetId="11" r:id="rId2"/>
    <sheet name="Personal Information" sheetId="5" r:id="rId3"/>
    <sheet name="Employment History" sheetId="6" r:id="rId4"/>
    <sheet name="Essay" sheetId="7" r:id="rId5"/>
    <sheet name="Additional Information" sheetId="10" r:id="rId6"/>
    <sheet name="Ref Select" sheetId="9" state="hidden" r:id="rId7"/>
    <sheet name="Sheet1" sheetId="12" state="hidden" r:id="rId8"/>
  </sheets>
  <definedNames>
    <definedName name="_xlnm._FilterDatabase" localSheetId="6" hidden="1">'Ref Select'!$AB$1:$AC$291</definedName>
    <definedName name="Account_Endorse">'Ref Select'!$A$1:$A$72</definedName>
    <definedName name="Attitude">'Ref Select'!$P$2:$P$5</definedName>
    <definedName name="Check">'Ref Select'!$W$2:$W$3</definedName>
    <definedName name="Choosing">'Ref Select'!$I$1:$I$15</definedName>
    <definedName name="ClientDispo">'Ref Select'!$T$2:$T$5</definedName>
    <definedName name="Course">'Ref Select'!$H$1:$H$43</definedName>
    <definedName name="CPA">'Ref Select'!$V$2:$V$5</definedName>
    <definedName name="Degree">'Ref Select'!$G$1:$G$10</definedName>
    <definedName name="Essay">'Ref Select'!$Q$2:$Q$5</definedName>
    <definedName name="Gender">'Ref Select'!$C$1:$C$3</definedName>
    <definedName name="HOLDREJECT">'Ref Select'!$N$2:$N$21</definedName>
    <definedName name="JO">'Ref Select'!$AF$1:$AF$36</definedName>
    <definedName name="Number">'Ref Select'!$E$2:$E$17</definedName>
    <definedName name="OPSDispo">'Ref Select'!$S$2:$S$6</definedName>
    <definedName name="OpsInter">'Ref Select'!$S$2:$S$6</definedName>
    <definedName name="PA">'Ref Select'!$O$2:$O$6</definedName>
    <definedName name="Reason">'Ref Select'!$X$2:$X$22</definedName>
    <definedName name="Recomendation">'Ref Select'!$M$2:$M$7</definedName>
    <definedName name="Source_Applicant">'Ref Select'!$B$1:$B$28</definedName>
    <definedName name="Transpo">'Ref Select'!$K$1:$K$10</definedName>
    <definedName name="Verbal">'Ref Select'!$R$2:$R$5</definedName>
    <definedName name="YESNO">'Ref Select'!$D$2:$D$4</definedName>
    <definedName name="YNN">'Ref Select'!$J$2:$J$4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333" i="9" l="1"/>
  <c r="AB336" i="9" s="1"/>
  <c r="AB322" i="9"/>
  <c r="AB325" i="9" s="1"/>
  <c r="AB311" i="9"/>
  <c r="AB314" i="9" s="1"/>
  <c r="AB300" i="9"/>
  <c r="AB303" i="9" s="1"/>
  <c r="AB289" i="9"/>
  <c r="AB292" i="9" s="1"/>
  <c r="D1" i="12" a="1"/>
  <c r="D1" i="12" s="1"/>
  <c r="C70" i="12"/>
  <c r="C71" i="12"/>
  <c r="C72" i="12"/>
  <c r="C73" i="12"/>
  <c r="C2"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K25" i="1"/>
  <c r="K32" i="1"/>
  <c r="K31" i="1"/>
  <c r="B26" i="10"/>
  <c r="B25" i="10"/>
  <c r="A21" i="10"/>
  <c r="A20" i="10"/>
  <c r="K34" i="1"/>
  <c r="AB339" i="9" l="1"/>
  <c r="AB342" i="9"/>
  <c r="AA333" i="9"/>
  <c r="AA322" i="9"/>
  <c r="AB331" i="9"/>
  <c r="AB328" i="9"/>
  <c r="AA311" i="9"/>
  <c r="AB320" i="9"/>
  <c r="AB317" i="9"/>
  <c r="AB306" i="9"/>
  <c r="AB309" i="9"/>
  <c r="AA300" i="9"/>
  <c r="AB295" i="9"/>
  <c r="AB298" i="9"/>
  <c r="AA289" i="9"/>
  <c r="K42" i="1"/>
  <c r="K39" i="1"/>
  <c r="K38" i="1"/>
  <c r="K37" i="1"/>
  <c r="K36" i="1"/>
  <c r="K33" i="1"/>
  <c r="K30" i="1"/>
  <c r="K29" i="1"/>
  <c r="K28" i="1"/>
  <c r="K27" i="1"/>
  <c r="K24" i="1"/>
  <c r="K23" i="1"/>
  <c r="K21" i="1"/>
  <c r="K20" i="1"/>
  <c r="K19" i="1"/>
  <c r="A24" i="10"/>
  <c r="A23" i="10"/>
  <c r="K45" i="1" l="1"/>
  <c r="K46" i="1"/>
  <c r="J73" i="1"/>
  <c r="J74" i="1"/>
  <c r="J41" i="1"/>
  <c r="K41" i="1" s="1"/>
  <c r="J83" i="1"/>
  <c r="J82" i="1"/>
  <c r="J81" i="1"/>
  <c r="J80" i="1"/>
  <c r="J79" i="1"/>
  <c r="J78" i="1"/>
  <c r="J77" i="1"/>
  <c r="J72" i="1"/>
  <c r="J71" i="1"/>
  <c r="J70" i="1"/>
  <c r="J61" i="1"/>
  <c r="J62" i="1"/>
  <c r="J69" i="1"/>
  <c r="J68" i="1"/>
  <c r="J67" i="1"/>
  <c r="J66" i="1"/>
  <c r="J65" i="1"/>
  <c r="J43" i="1"/>
  <c r="K43" i="1" s="1"/>
  <c r="J44" i="1"/>
  <c r="K44" i="1" s="1"/>
  <c r="J76" i="1" s="1"/>
  <c r="L62" i="1"/>
  <c r="J35" i="1"/>
  <c r="J40" i="1"/>
  <c r="K40" i="1" s="1"/>
  <c r="J75" i="1" l="1"/>
  <c r="J11" i="1"/>
  <c r="AB277" i="9" l="1"/>
  <c r="AB286" i="9" s="1"/>
  <c r="AB264" i="9"/>
  <c r="AB273" i="9" s="1"/>
  <c r="AB252" i="9"/>
  <c r="AB261" i="9" s="1"/>
  <c r="AB241" i="9"/>
  <c r="AB250" i="9" s="1"/>
  <c r="AB229" i="9"/>
  <c r="AB238" i="9" s="1"/>
  <c r="AB217" i="9"/>
  <c r="AB226" i="9" s="1"/>
  <c r="AB211" i="9"/>
  <c r="AB205" i="9"/>
  <c r="AB214" i="9" s="1"/>
  <c r="AB190" i="9"/>
  <c r="AB199" i="9" s="1"/>
  <c r="AB178" i="9"/>
  <c r="AB187" i="9" s="1"/>
  <c r="AB166" i="9"/>
  <c r="AB175" i="9" s="1"/>
  <c r="AB154" i="9"/>
  <c r="AB163" i="9" s="1"/>
  <c r="AB142" i="9"/>
  <c r="AB151" i="9" s="1"/>
  <c r="AB131" i="9"/>
  <c r="AB140" i="9" s="1"/>
  <c r="AB119" i="9"/>
  <c r="AB128" i="9" s="1"/>
  <c r="AB107" i="9"/>
  <c r="AB113" i="9" s="1"/>
  <c r="AB95" i="9"/>
  <c r="AB104" i="9" s="1"/>
  <c r="AB83" i="9"/>
  <c r="AB86" i="9" s="1"/>
  <c r="AB71" i="9"/>
  <c r="AB80" i="9" s="1"/>
  <c r="AB60" i="9"/>
  <c r="AB69" i="9" s="1"/>
  <c r="AB49" i="9"/>
  <c r="AB58" i="9" s="1"/>
  <c r="AB37" i="9"/>
  <c r="AB46" i="9" s="1"/>
  <c r="AB25" i="9"/>
  <c r="AB28" i="9" s="1"/>
  <c r="AB13" i="9"/>
  <c r="AB16" i="9" s="1"/>
  <c r="AB1" i="9"/>
  <c r="AB202" i="9" l="1"/>
  <c r="AB4" i="9"/>
  <c r="J56" i="1" s="1"/>
  <c r="AB7" i="9"/>
  <c r="AB10" i="9"/>
  <c r="AB280" i="9"/>
  <c r="AB283" i="9"/>
  <c r="AA264" i="9"/>
  <c r="AB267" i="9"/>
  <c r="AB270" i="9"/>
  <c r="AB255" i="9"/>
  <c r="AB258" i="9"/>
  <c r="AB244" i="9"/>
  <c r="AB247" i="9"/>
  <c r="AB232" i="9"/>
  <c r="AB235" i="9"/>
  <c r="AB220" i="9"/>
  <c r="AB223" i="9"/>
  <c r="AB208" i="9"/>
  <c r="AB193" i="9"/>
  <c r="AB196" i="9"/>
  <c r="AB181" i="9"/>
  <c r="AB184" i="9"/>
  <c r="AB169" i="9"/>
  <c r="AB172" i="9"/>
  <c r="AA154" i="9"/>
  <c r="AB157" i="9"/>
  <c r="AB160" i="9"/>
  <c r="AB145" i="9"/>
  <c r="AB148" i="9"/>
  <c r="AA131" i="9"/>
  <c r="AB134" i="9"/>
  <c r="AB137" i="9"/>
  <c r="AB122" i="9"/>
  <c r="AB125" i="9"/>
  <c r="AB116" i="9"/>
  <c r="AB110" i="9"/>
  <c r="AB98" i="9"/>
  <c r="AB101" i="9"/>
  <c r="AB92" i="9"/>
  <c r="AB89" i="9"/>
  <c r="AA71" i="9"/>
  <c r="AB74" i="9"/>
  <c r="AB77" i="9"/>
  <c r="AA60" i="9"/>
  <c r="AB63" i="9"/>
  <c r="AB66" i="9"/>
  <c r="AB52" i="9"/>
  <c r="AB55" i="9"/>
  <c r="AA37" i="9"/>
  <c r="AB40" i="9"/>
  <c r="AB43" i="9"/>
  <c r="AB31" i="9"/>
  <c r="AB34" i="9"/>
  <c r="AB22" i="9"/>
  <c r="AB19" i="9"/>
  <c r="AA166" i="9"/>
  <c r="AA241" i="9"/>
  <c r="AA217" i="9"/>
  <c r="AA1" i="9"/>
  <c r="AA95" i="9"/>
  <c r="AA190" i="9"/>
  <c r="AA13" i="9"/>
  <c r="AA107" i="9"/>
  <c r="AA205" i="9"/>
  <c r="AA229" i="9"/>
  <c r="AA25" i="9"/>
  <c r="AA119" i="9"/>
  <c r="AA252" i="9"/>
  <c r="AA83" i="9"/>
  <c r="AA178" i="9"/>
  <c r="AA49" i="9"/>
  <c r="AA142" i="9"/>
  <c r="AA277" i="9"/>
  <c r="J58" i="1" l="1"/>
  <c r="J59" i="1"/>
  <c r="J57" i="1"/>
  <c r="C150" i="1"/>
  <c r="C149" i="1"/>
  <c r="C148" i="1"/>
  <c r="C147" i="1"/>
  <c r="C145" i="1"/>
  <c r="C144" i="1"/>
  <c r="C142" i="1"/>
  <c r="C141" i="1"/>
  <c r="C139" i="1"/>
  <c r="C138" i="1"/>
  <c r="C134" i="1"/>
  <c r="C131" i="1"/>
  <c r="C130" i="1"/>
  <c r="C111" i="1"/>
  <c r="C109" i="1"/>
  <c r="C108" i="1"/>
  <c r="C105" i="1"/>
  <c r="C103" i="1"/>
  <c r="C101" i="1"/>
  <c r="C98" i="1"/>
  <c r="C97" i="1"/>
  <c r="C94" i="1"/>
  <c r="C96" i="1"/>
  <c r="C135" i="1"/>
  <c r="C133" i="1"/>
  <c r="C132" i="1"/>
  <c r="C155" i="1"/>
  <c r="C154" i="1"/>
  <c r="C153" i="1"/>
  <c r="C152" i="1"/>
  <c r="C190" i="1"/>
  <c r="C189" i="1"/>
  <c r="C188" i="1"/>
  <c r="C187" i="1"/>
  <c r="C185" i="1"/>
  <c r="C184" i="1"/>
  <c r="C183" i="1"/>
  <c r="C182" i="1"/>
  <c r="C181" i="1"/>
  <c r="C180" i="1"/>
  <c r="C179" i="1"/>
  <c r="C178" i="1"/>
  <c r="C177" i="1"/>
  <c r="C176" i="1"/>
  <c r="C175" i="1"/>
  <c r="C174" i="1"/>
  <c r="C171" i="1"/>
  <c r="C170" i="1"/>
  <c r="C169" i="1"/>
  <c r="C168" i="1"/>
  <c r="C167" i="1"/>
  <c r="C166" i="1"/>
  <c r="C165" i="1"/>
  <c r="C164" i="1"/>
  <c r="C163" i="1"/>
  <c r="C162" i="1"/>
  <c r="C161" i="1"/>
  <c r="C160" i="1"/>
  <c r="C159" i="1"/>
  <c r="C158" i="1"/>
  <c r="C157" i="1"/>
  <c r="C193" i="1"/>
  <c r="C128" i="1"/>
  <c r="C127" i="1"/>
  <c r="C126" i="1"/>
  <c r="C124" i="1"/>
  <c r="C123" i="1"/>
  <c r="C122" i="1"/>
  <c r="C121" i="1"/>
  <c r="C120" i="1"/>
  <c r="C119" i="1"/>
  <c r="C118" i="1"/>
  <c r="C117" i="1"/>
  <c r="C125" i="1"/>
  <c r="C116" i="1"/>
  <c r="C115" i="1"/>
  <c r="C114" i="1"/>
  <c r="C113" i="1"/>
  <c r="C110" i="1"/>
  <c r="C106" i="1"/>
  <c r="C104" i="1"/>
  <c r="C102" i="1"/>
  <c r="C100" i="1"/>
  <c r="C99" i="1"/>
  <c r="C95" i="1"/>
  <c r="C93" i="1"/>
  <c r="C92" i="1"/>
  <c r="C91" i="1"/>
  <c r="C88" i="1"/>
  <c r="C87" i="1"/>
  <c r="C86" i="1"/>
  <c r="C84" i="1"/>
  <c r="C83" i="1"/>
  <c r="C82" i="1"/>
  <c r="C80" i="1"/>
  <c r="C79" i="1"/>
  <c r="C78" i="1"/>
  <c r="C76" i="1"/>
  <c r="C75" i="1"/>
  <c r="C74" i="1"/>
  <c r="C72" i="1"/>
  <c r="C71" i="1"/>
  <c r="C70" i="1"/>
  <c r="C68" i="1"/>
  <c r="C64" i="1"/>
  <c r="C63" i="1"/>
  <c r="C61" i="1"/>
  <c r="C60" i="1"/>
  <c r="C59" i="1"/>
  <c r="C57" i="1"/>
  <c r="C56" i="1"/>
  <c r="C55" i="1"/>
  <c r="C53" i="1"/>
  <c r="C52" i="1"/>
  <c r="C51" i="1"/>
  <c r="C41" i="1"/>
  <c r="C42" i="1"/>
  <c r="C40" i="1"/>
  <c r="C39" i="1"/>
  <c r="C38" i="1"/>
  <c r="C35" i="1"/>
  <c r="C36" i="1"/>
  <c r="C34" i="1"/>
  <c r="C33" i="1"/>
  <c r="C32" i="1"/>
  <c r="C29" i="1"/>
  <c r="C28" i="1"/>
  <c r="K16" i="1" s="1"/>
  <c r="C27" i="1"/>
  <c r="C26" i="1"/>
  <c r="K17" i="1" s="1"/>
  <c r="K18" i="1" s="1"/>
  <c r="C24" i="1"/>
  <c r="C25" i="1"/>
  <c r="C23" i="1"/>
  <c r="C20" i="1"/>
  <c r="C17" i="1"/>
  <c r="C18" i="1"/>
  <c r="C19" i="1"/>
  <c r="C16" i="1"/>
  <c r="C13" i="1"/>
  <c r="C12" i="1"/>
  <c r="C11" i="1"/>
  <c r="C8" i="1"/>
  <c r="C7" i="1"/>
  <c r="C6" i="1"/>
  <c r="K15" i="1" s="1"/>
  <c r="C5" i="1"/>
  <c r="K14" i="1" s="1"/>
  <c r="C4" i="1"/>
  <c r="K13" i="1" s="1"/>
  <c r="C3" i="1"/>
  <c r="C2" i="1"/>
  <c r="K12" i="1" s="1"/>
  <c r="C45" i="1"/>
  <c r="C48" i="1"/>
  <c r="C47" i="1"/>
  <c r="C46" i="1"/>
  <c r="C44" i="1"/>
  <c r="C21" i="1"/>
  <c r="C10" i="1"/>
  <c r="K49" i="1" s="1"/>
  <c r="C9" i="1"/>
  <c r="K48" i="1" s="1"/>
  <c r="C10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Darwin Yambao</author>
  </authors>
  <commentList>
    <comment ref="L4" authorId="0" shapeId="0" xr:uid="{32D8324C-78E9-4AE1-B34F-82C92425D1F2}">
      <text>
        <r>
          <rPr>
            <b/>
            <sz val="9"/>
            <color indexed="81"/>
            <rFont val="Tahoma"/>
            <family val="2"/>
          </rPr>
          <t xml:space="preserve">This will be the trigger ref of the ROBOT for which Job will be filled </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<sst xmlns="http://schemas.openxmlformats.org/spreadsheetml/2006/main" count="1147" uniqueCount="589">
  <si>
    <t>Last Name</t>
  </si>
  <si>
    <t>Maiden Name</t>
  </si>
  <si>
    <t>First Name</t>
  </si>
  <si>
    <t>Middle Name</t>
  </si>
  <si>
    <t>Nickname</t>
  </si>
  <si>
    <t>Present Address</t>
  </si>
  <si>
    <t>Permanent Address</t>
  </si>
  <si>
    <t>Contact Number(s)</t>
  </si>
  <si>
    <t>Email Address</t>
  </si>
  <si>
    <t>Current Monthly Salary</t>
  </si>
  <si>
    <t>Expected Salary</t>
  </si>
  <si>
    <t>Date Available (please specify Notice Period</t>
  </si>
  <si>
    <t>The following conditions may be required at some point in your employment. Are you amenable to working:</t>
  </si>
  <si>
    <t>Shifts</t>
  </si>
  <si>
    <t>Graveyard Shift</t>
  </si>
  <si>
    <t>Rotation Schedule</t>
  </si>
  <si>
    <t>Overtime</t>
  </si>
  <si>
    <t>Holidays</t>
  </si>
  <si>
    <t>Type of Employment</t>
  </si>
  <si>
    <t>How did you know about us?</t>
  </si>
  <si>
    <t>Government Numbers</t>
  </si>
  <si>
    <t>SSS Number</t>
  </si>
  <si>
    <t>Tin</t>
  </si>
  <si>
    <t>Pag Ibig</t>
  </si>
  <si>
    <t>Date of Birth</t>
  </si>
  <si>
    <t>Citizenship</t>
  </si>
  <si>
    <t>Gender</t>
  </si>
  <si>
    <t>Civil Status</t>
  </si>
  <si>
    <t>EDUCATIONAL BACKGROUND</t>
  </si>
  <si>
    <t>Secondary</t>
  </si>
  <si>
    <t>Degree/Course</t>
  </si>
  <si>
    <t>Inclusive Dates</t>
  </si>
  <si>
    <t>Name</t>
  </si>
  <si>
    <t>Address</t>
  </si>
  <si>
    <t>Contact Info</t>
  </si>
  <si>
    <t>Collegiate</t>
  </si>
  <si>
    <t>Post Graduate/Professional/Others</t>
  </si>
  <si>
    <t>FAMILY HISTORY</t>
  </si>
  <si>
    <t>Father</t>
  </si>
  <si>
    <t>Occupation</t>
  </si>
  <si>
    <t>Employer/School</t>
  </si>
  <si>
    <t>Mother</t>
  </si>
  <si>
    <t>Brothers/Sisters</t>
  </si>
  <si>
    <t>Spouse</t>
  </si>
  <si>
    <t>Child/Children</t>
  </si>
  <si>
    <t>EMPLOYMENT HISTORY</t>
  </si>
  <si>
    <t>Company Name</t>
  </si>
  <si>
    <t>Contact Details 
(Tel #, Email)</t>
  </si>
  <si>
    <t>Position</t>
  </si>
  <si>
    <t>Inclusive dates</t>
  </si>
  <si>
    <t>Monthly Salary</t>
  </si>
  <si>
    <t>Reason for leaving</t>
  </si>
  <si>
    <t>TRAINING AND CERTIFICATION</t>
  </si>
  <si>
    <t>Course/Title</t>
  </si>
  <si>
    <t>Description</t>
  </si>
  <si>
    <t>Training Institution</t>
  </si>
  <si>
    <t>SKILLS AND INTEREST</t>
  </si>
  <si>
    <t>Softwate Knowledge</t>
  </si>
  <si>
    <t>Equipment Knowledge</t>
  </si>
  <si>
    <t>Typing</t>
  </si>
  <si>
    <t>Professional Licenses and Memberships</t>
  </si>
  <si>
    <t>Language Fluency</t>
  </si>
  <si>
    <t>Please rate 1-5, 5 being the highest</t>
  </si>
  <si>
    <t>English</t>
  </si>
  <si>
    <t>Spoken</t>
  </si>
  <si>
    <t>Written</t>
  </si>
  <si>
    <t>Other Skills (please specify)</t>
  </si>
  <si>
    <t>Filipino</t>
  </si>
  <si>
    <t>Have you ever had any International exposure/travel Experience? (Please Specify)</t>
  </si>
  <si>
    <t>No</t>
  </si>
  <si>
    <t>OTHERS</t>
  </si>
  <si>
    <t xml:space="preserve">Are you related to any person presently connnected with Connext? </t>
  </si>
  <si>
    <t>Name and Relationship</t>
  </si>
  <si>
    <t>Have you had any criminal or civil liability?</t>
  </si>
  <si>
    <t>Please specify</t>
  </si>
  <si>
    <t>REFERRALS</t>
  </si>
  <si>
    <t>Phone #</t>
  </si>
  <si>
    <t>CHARACTER REFERENCE</t>
  </si>
  <si>
    <t>PREVIOUS EMPLOYMENT</t>
  </si>
  <si>
    <t>Company</t>
  </si>
  <si>
    <t>Contact No(s)</t>
  </si>
  <si>
    <t>COLLEGE DEAN / SCHOOL REGISTRAR</t>
  </si>
  <si>
    <t>Reference #</t>
  </si>
  <si>
    <t>Please write a short narrative on the question: (min, 100 words)</t>
  </si>
  <si>
    <t>Compose in no more than 100 words everything you want us to know about you. Include your work behavior strengths ans weaknesses, your expectations towards the company, your office mates and superiors. State also your future plans and goals in life (Alt + Enter to make another paragraph)</t>
  </si>
  <si>
    <t>Current Day</t>
  </si>
  <si>
    <t>Requisition Month</t>
  </si>
  <si>
    <t>Color</t>
  </si>
  <si>
    <t>Reviewed by Talent Acquisition:</t>
  </si>
  <si>
    <t>Job Title: *</t>
  </si>
  <si>
    <t>Grade Level</t>
  </si>
  <si>
    <t>Other Position Titles</t>
  </si>
  <si>
    <t>Assignment/Client: *</t>
  </si>
  <si>
    <t>Number of Job openings</t>
  </si>
  <si>
    <r>
      <t>Search Action Level</t>
    </r>
    <r>
      <rPr>
        <sz val="9"/>
        <color theme="1"/>
        <rFont val="Arial"/>
        <family val="2"/>
      </rPr>
      <t> </t>
    </r>
    <r>
      <rPr>
        <b/>
        <sz val="9"/>
        <color rgb="FFFF0000"/>
        <rFont val="Arial"/>
        <family val="2"/>
      </rPr>
      <t>*</t>
    </r>
  </si>
  <si>
    <r>
      <t>Location Authorized</t>
    </r>
    <r>
      <rPr>
        <sz val="9"/>
        <color theme="1"/>
        <rFont val="Arial"/>
        <family val="2"/>
      </rPr>
      <t> </t>
    </r>
    <r>
      <rPr>
        <b/>
        <sz val="9"/>
        <color rgb="FFFF0000"/>
        <rFont val="Arial"/>
        <family val="2"/>
      </rPr>
      <t>*</t>
    </r>
  </si>
  <si>
    <r>
      <t>Why Urgent or Expedite?</t>
    </r>
    <r>
      <rPr>
        <b/>
        <sz val="9"/>
        <color rgb="FFFF0000"/>
        <rFont val="Arial"/>
        <family val="2"/>
      </rPr>
      <t>*</t>
    </r>
  </si>
  <si>
    <r>
      <t>Position Needed by</t>
    </r>
    <r>
      <rPr>
        <b/>
        <sz val="9"/>
        <color rgb="FFFF0000"/>
        <rFont val="Arial"/>
        <family val="2"/>
      </rPr>
      <t>*</t>
    </r>
  </si>
  <si>
    <t>Direct Supervisor:</t>
  </si>
  <si>
    <t>Department:</t>
  </si>
  <si>
    <t>Department Head:</t>
  </si>
  <si>
    <t>Search Classification *</t>
  </si>
  <si>
    <t>Date Open:</t>
  </si>
  <si>
    <t>Target Hire Date:</t>
  </si>
  <si>
    <t>Planned Search Duration (Days)</t>
  </si>
  <si>
    <t>Base Compensation (Min): *</t>
  </si>
  <si>
    <t>Remarks</t>
  </si>
  <si>
    <t>QB Form</t>
  </si>
  <si>
    <t>Grade Midpoint</t>
  </si>
  <si>
    <t>Average Salary in Account *</t>
  </si>
  <si>
    <t>Highest Salary in Account *</t>
  </si>
  <si>
    <t>Salary Offered</t>
  </si>
  <si>
    <t>Referral Bonus</t>
  </si>
  <si>
    <t>Hiring Bonus:</t>
  </si>
  <si>
    <t> Bonus Potential: </t>
  </si>
  <si>
    <t>Planned Schedule:</t>
  </si>
  <si>
    <t>Direct Experience Field</t>
  </si>
  <si>
    <t>Years Direct Experience Required</t>
  </si>
  <si>
    <t>Job Description</t>
  </si>
  <si>
    <t>Required Qualifications: *</t>
  </si>
  <si>
    <r>
      <t xml:space="preserve">Staff Requisitions- </t>
    </r>
    <r>
      <rPr>
        <b/>
        <sz val="15"/>
        <color theme="5"/>
        <rFont val="Calibri"/>
        <family val="2"/>
        <scheme val="minor"/>
      </rPr>
      <t>Autofilled?</t>
    </r>
  </si>
  <si>
    <t>Role and Responsibilities:</t>
  </si>
  <si>
    <t>Client Endorsement Required *</t>
  </si>
  <si>
    <t>Billable to Client</t>
  </si>
  <si>
    <t> Degree Required? </t>
  </si>
  <si>
    <t>Specify Field(s)*</t>
  </si>
  <si>
    <t> Fresh Grad Ok? </t>
  </si>
  <si>
    <t>Equipment Required *</t>
  </si>
  <si>
    <t>Account Credentials *</t>
  </si>
  <si>
    <t>Peripherals Needed *</t>
  </si>
  <si>
    <t> Selection Questions</t>
  </si>
  <si>
    <t>REQUIRED QUESTIONS</t>
  </si>
  <si>
    <t>Screening Question 1*</t>
  </si>
  <si>
    <t>Screening Question 2*</t>
  </si>
  <si>
    <t>Screening Question 3*</t>
  </si>
  <si>
    <t>What resources do you use (e.g. forums, websites and books) to keep up-to-date with engineering trends?</t>
  </si>
  <si>
    <t>What types of problems have you encountered most often in operational systems after deployment?</t>
  </si>
  <si>
    <t>Describe a time when you had to make a presentation. How did you manage to explain technical details to a non-technical audience?</t>
  </si>
  <si>
    <t>OPTIONAL QUESTIONS</t>
  </si>
  <si>
    <t>Screening Question 4</t>
  </si>
  <si>
    <t>Screening Question 5</t>
  </si>
  <si>
    <t>Screening Question 6</t>
  </si>
  <si>
    <t>Screening Question 7</t>
  </si>
  <si>
    <t>Screening Question 8</t>
  </si>
  <si>
    <t>Screening Question 9</t>
  </si>
  <si>
    <t>Screening Question 10</t>
  </si>
  <si>
    <t>Actual Fill Date</t>
  </si>
  <si>
    <t>Month</t>
  </si>
  <si>
    <t>Actual Fill Duration</t>
  </si>
  <si>
    <r>
      <t>Search Status</t>
    </r>
    <r>
      <rPr>
        <sz val="9"/>
        <color theme="1"/>
        <rFont val="Arial"/>
        <family val="2"/>
      </rPr>
      <t> </t>
    </r>
    <r>
      <rPr>
        <b/>
        <sz val="9"/>
        <color rgb="FFFF0000"/>
        <rFont val="Arial"/>
        <family val="2"/>
      </rPr>
      <t>*</t>
    </r>
  </si>
  <si>
    <t>Current Search Days</t>
  </si>
  <si>
    <t>Search Duration</t>
  </si>
  <si>
    <t>Days Remaining</t>
  </si>
  <si>
    <t>Avg Daily Rate</t>
  </si>
  <si>
    <t>Search Revenue Php</t>
  </si>
  <si>
    <t> Search Detail</t>
  </si>
  <si>
    <t xml:space="preserve"> Applicant Background Form</t>
  </si>
  <si>
    <t xml:space="preserve"> Applicants : </t>
  </si>
  <si>
    <t>Recruiting For:</t>
  </si>
  <si>
    <t>Manual- Required to fill</t>
  </si>
  <si>
    <t>Account endorsed to</t>
  </si>
  <si>
    <t>Position:</t>
  </si>
  <si>
    <t>Application Date</t>
  </si>
  <si>
    <t>Source of Applicant *</t>
  </si>
  <si>
    <t>Last Name *</t>
  </si>
  <si>
    <t>First Name *</t>
  </si>
  <si>
    <t>Nick Name</t>
  </si>
  <si>
    <t>Gender *</t>
  </si>
  <si>
    <t>Age (In Years)</t>
  </si>
  <si>
    <t>PERSONAL INFORMATION</t>
  </si>
  <si>
    <t>YES</t>
  </si>
  <si>
    <t>In case of Emergency Contact Information</t>
  </si>
  <si>
    <t>Details</t>
  </si>
  <si>
    <t>Head of Household *</t>
  </si>
  <si>
    <t>Number of Dependents *</t>
  </si>
  <si>
    <t>Date Willing to Start *</t>
  </si>
  <si>
    <t>Resume Attachment</t>
  </si>
  <si>
    <t>Start Date on Last Job</t>
  </si>
  <si>
    <t>End Date on Last Job</t>
  </si>
  <si>
    <t>Application Attachment</t>
  </si>
  <si>
    <t>Number of Jobs in Last 3 Years *</t>
  </si>
  <si>
    <t>Reason for Leaving Last Job</t>
  </si>
  <si>
    <t>Notice Period (Days)</t>
  </si>
  <si>
    <t> High School Graduate </t>
  </si>
  <si>
    <t> Attended College </t>
  </si>
  <si>
    <t> College Graduate </t>
  </si>
  <si>
    <t>Degree Obtained</t>
  </si>
  <si>
    <t>Major Course of Study</t>
  </si>
  <si>
    <t>Special Skills or Qualifications</t>
  </si>
  <si>
    <t>Why Choosing Connext?</t>
  </si>
  <si>
    <t>Valid Passport *</t>
  </si>
  <si>
    <t>Current  (Base) Salary *</t>
  </si>
  <si>
    <t>Desired Salary *</t>
  </si>
  <si>
    <t>Offered (Base) Salary</t>
  </si>
  <si>
    <t>Manual</t>
  </si>
  <si>
    <t>Manual Entry</t>
  </si>
  <si>
    <t>Contact Number:</t>
  </si>
  <si>
    <t>Contact Email:</t>
  </si>
  <si>
    <t> Recruitment Screening</t>
  </si>
  <si>
    <t>Years Direct Experience</t>
  </si>
  <si>
    <t>Recruiter Recommendation</t>
  </si>
  <si>
    <t>Recruiter Comments2</t>
  </si>
  <si>
    <t>Salary</t>
  </si>
  <si>
    <t>Date Available (please specify Notice Period)</t>
  </si>
  <si>
    <t>Brothers/Sisters1</t>
  </si>
  <si>
    <t>Brothers/Sisters2</t>
  </si>
  <si>
    <t>Brothers/Sisters3</t>
  </si>
  <si>
    <t>Brothers/Sisters4</t>
  </si>
  <si>
    <t>Spanish</t>
  </si>
  <si>
    <t>Chinese</t>
  </si>
  <si>
    <t>Form&gt;&gt; Autofill based on Recruitment form</t>
  </si>
  <si>
    <r>
      <t>Source of Applicant</t>
    </r>
    <r>
      <rPr>
        <sz val="9"/>
        <color rgb="FF333333"/>
        <rFont val="Arial"/>
        <family val="2"/>
      </rPr>
      <t> </t>
    </r>
    <r>
      <rPr>
        <b/>
        <sz val="9"/>
        <color rgb="FFFF0000"/>
        <rFont val="Arial"/>
        <family val="2"/>
      </rPr>
      <t>*</t>
    </r>
  </si>
  <si>
    <r>
      <t>Gender</t>
    </r>
    <r>
      <rPr>
        <sz val="9"/>
        <color rgb="FF333333"/>
        <rFont val="Arial"/>
        <family val="2"/>
      </rPr>
      <t> </t>
    </r>
    <r>
      <rPr>
        <b/>
        <sz val="9"/>
        <color rgb="FFFF0000"/>
        <rFont val="Arial"/>
        <family val="2"/>
      </rPr>
      <t>*</t>
    </r>
  </si>
  <si>
    <r>
      <t>Head of Household</t>
    </r>
    <r>
      <rPr>
        <sz val="9"/>
        <color rgb="FF333333"/>
        <rFont val="Arial"/>
        <family val="2"/>
      </rPr>
      <t> </t>
    </r>
    <r>
      <rPr>
        <b/>
        <sz val="9"/>
        <color rgb="FFFF0000"/>
        <rFont val="Arial"/>
        <family val="2"/>
      </rPr>
      <t>*</t>
    </r>
  </si>
  <si>
    <t>Number of Dependents *
Number of Dependents *
Number of Dependents *</t>
  </si>
  <si>
    <r>
      <t>Number of Jobs in Last 3 Years</t>
    </r>
    <r>
      <rPr>
        <sz val="9"/>
        <color rgb="FF333333"/>
        <rFont val="Arial"/>
        <family val="2"/>
      </rPr>
      <t> </t>
    </r>
  </si>
  <si>
    <t>Associates</t>
  </si>
  <si>
    <t>BA or BS</t>
  </si>
  <si>
    <t>Masters</t>
  </si>
  <si>
    <t>CPA</t>
  </si>
  <si>
    <t>PHD</t>
  </si>
  <si>
    <t>Other (See Special Skills)</t>
  </si>
  <si>
    <t>Connext Staff</t>
  </si>
  <si>
    <t>TG ESCROW</t>
  </si>
  <si>
    <t>TG TITLE</t>
  </si>
  <si>
    <t>TG MARKETING</t>
  </si>
  <si>
    <t>TIHATI</t>
  </si>
  <si>
    <t>KOHA DV</t>
  </si>
  <si>
    <t>KOHA</t>
  </si>
  <si>
    <t>PEMCO</t>
  </si>
  <si>
    <t>HAWKTREE</t>
  </si>
  <si>
    <t>REDHAMMER</t>
  </si>
  <si>
    <t>HAM</t>
  </si>
  <si>
    <t>MANSON</t>
  </si>
  <si>
    <t>MAKAI HR</t>
  </si>
  <si>
    <t>ZETO</t>
  </si>
  <si>
    <t>TORI RICHARD</t>
  </si>
  <si>
    <t>TEG</t>
  </si>
  <si>
    <t>PHARMACARE</t>
  </si>
  <si>
    <t>REHAB</t>
  </si>
  <si>
    <t>HIBH</t>
  </si>
  <si>
    <t>PREMIER DENTAL</t>
  </si>
  <si>
    <t>HI SMILE ORTH</t>
  </si>
  <si>
    <t>Business Development</t>
  </si>
  <si>
    <t>HR/Admin</t>
  </si>
  <si>
    <t>ASB</t>
  </si>
  <si>
    <t>OSAKI</t>
  </si>
  <si>
    <t>American Electric</t>
  </si>
  <si>
    <t>ACE MEDICAL</t>
  </si>
  <si>
    <t>HappyDoors Property Management</t>
  </si>
  <si>
    <t>Hicks Pension</t>
  </si>
  <si>
    <t>RedHammer/Hawktree</t>
  </si>
  <si>
    <t>The Redmont Group</t>
  </si>
  <si>
    <t>Honolulu Disposal Service Inc</t>
  </si>
  <si>
    <t>Test Record</t>
  </si>
  <si>
    <t>Y. HATA</t>
  </si>
  <si>
    <t>AKAMAI</t>
  </si>
  <si>
    <t>ServPac</t>
  </si>
  <si>
    <t>La Croix</t>
  </si>
  <si>
    <t>OHANA</t>
  </si>
  <si>
    <t>Leeward Drive Inn</t>
  </si>
  <si>
    <t>Hawaii Pacific</t>
  </si>
  <si>
    <t>Trusta</t>
  </si>
  <si>
    <t>Kidshine Pediatric Dental Group</t>
  </si>
  <si>
    <t>Ambulnz</t>
  </si>
  <si>
    <t>Dr. Wade Takenishi</t>
  </si>
  <si>
    <t>Tony Auto Group</t>
  </si>
  <si>
    <t>Aloha Wound Care</t>
  </si>
  <si>
    <t>Eleyae Systems</t>
  </si>
  <si>
    <t>Peak Dental</t>
  </si>
  <si>
    <t>FinLync</t>
  </si>
  <si>
    <t>ECA ADVISORS</t>
  </si>
  <si>
    <t>Atlantic Broadband</t>
  </si>
  <si>
    <t>ALIKAI HEALTH LLC</t>
  </si>
  <si>
    <t>EJDA Services Inc.</t>
  </si>
  <si>
    <t>Reyn Spooner</t>
  </si>
  <si>
    <t>HR Services</t>
  </si>
  <si>
    <t>Financial Services</t>
  </si>
  <si>
    <t>Island Healthcare Solutions</t>
  </si>
  <si>
    <t>HEALTHCARE</t>
  </si>
  <si>
    <t>Dougherty Laser Vision</t>
  </si>
  <si>
    <t>Great Falls</t>
  </si>
  <si>
    <t>Military First BNB Solutions</t>
  </si>
  <si>
    <t>TCA</t>
  </si>
  <si>
    <t>Hawaii Endodontics</t>
  </si>
  <si>
    <t>Jack in the Box</t>
  </si>
  <si>
    <t>Locations Hawaii</t>
  </si>
  <si>
    <t>Tradewind Charters Hawaii</t>
  </si>
  <si>
    <t>Brayn Consulting</t>
  </si>
  <si>
    <t>Premier Supplies</t>
  </si>
  <si>
    <t>Aiea Pediatric Dental Center</t>
  </si>
  <si>
    <t>Academic Referrals</t>
  </si>
  <si>
    <t>CDC Clark</t>
  </si>
  <si>
    <t>Community Networking</t>
  </si>
  <si>
    <t>Craigslist</t>
  </si>
  <si>
    <t>Employee Referral (resigned)</t>
  </si>
  <si>
    <t>Employee Referral (Unqualified)</t>
  </si>
  <si>
    <t>Employee Referral Program</t>
  </si>
  <si>
    <t>Existing Employee</t>
  </si>
  <si>
    <t>Facebook</t>
  </si>
  <si>
    <t>Flyer from Solicitor</t>
  </si>
  <si>
    <t>Headhunter/Partner</t>
  </si>
  <si>
    <t>Indeed.com</t>
  </si>
  <si>
    <t>Internal/Transfer</t>
  </si>
  <si>
    <t>Job Fair or Open House</t>
  </si>
  <si>
    <t>Jobstreet</t>
  </si>
  <si>
    <t>LinkedIn</t>
  </si>
  <si>
    <t>Monster.com</t>
  </si>
  <si>
    <t>OJT</t>
  </si>
  <si>
    <t>Public Referral</t>
  </si>
  <si>
    <t>Recruiting Database</t>
  </si>
  <si>
    <t>Tarpulin</t>
  </si>
  <si>
    <t>Temp Agency</t>
  </si>
  <si>
    <t>Walk-In</t>
  </si>
  <si>
    <t>Website</t>
  </si>
  <si>
    <t>Word of mouth</t>
  </si>
  <si>
    <t>Workbank</t>
  </si>
  <si>
    <t>Accounting</t>
  </si>
  <si>
    <t>Agriculture, Agriculture Operations, and Related Sciences</t>
  </si>
  <si>
    <t>Architecture and Related Services</t>
  </si>
  <si>
    <t>Area, Ethnic, Cultural, Gender, and Group Studies</t>
  </si>
  <si>
    <t>Aviation</t>
  </si>
  <si>
    <t>Biological and Biomedical Sciences</t>
  </si>
  <si>
    <t>Business</t>
  </si>
  <si>
    <t>Business, Management, Marketing, and Related Support Services</t>
  </si>
  <si>
    <t>Communication, Journalism, and Related Programs</t>
  </si>
  <si>
    <t>Communications Technologies/technicians and Support Services</t>
  </si>
  <si>
    <t>Computer and Information Sciences and Support Services</t>
  </si>
  <si>
    <t>Construction Trades</t>
  </si>
  <si>
    <t>Education</t>
  </si>
  <si>
    <t>Engineering</t>
  </si>
  <si>
    <t>Engineering Technologies and Engineering-Related Fields</t>
  </si>
  <si>
    <t>English Language and Literature/letters</t>
  </si>
  <si>
    <t>Family and Consumer Sciences/human Sciences</t>
  </si>
  <si>
    <t>Foreign Languages, Literatures, and Linguistics</t>
  </si>
  <si>
    <t>Health Professions and Related Programs</t>
  </si>
  <si>
    <t>History</t>
  </si>
  <si>
    <t>Homeland Security, Law Enforcement, Firefighting</t>
  </si>
  <si>
    <t>Human Services</t>
  </si>
  <si>
    <t>Legal Professions and Studies</t>
  </si>
  <si>
    <t>Liberal Arts and Sciences Studies and Humanities</t>
  </si>
  <si>
    <t>Library Science</t>
  </si>
  <si>
    <t>Mathematics and Statistics</t>
  </si>
  <si>
    <t>Mechanic and Repair Technologies/technicians</t>
  </si>
  <si>
    <t>Military Technologies and Applied Sciences</t>
  </si>
  <si>
    <t>Multi/interdisciplinary Studies</t>
  </si>
  <si>
    <t>Natural Resources and Conservation</t>
  </si>
  <si>
    <t>Parks, Recreation, Leisure, and Fitness Studies</t>
  </si>
  <si>
    <t>Personal and Culinary Services</t>
  </si>
  <si>
    <t>Philosophy and Religious Studies</t>
  </si>
  <si>
    <t>Physical Sciences</t>
  </si>
  <si>
    <t>Precision Production</t>
  </si>
  <si>
    <t>Psychology</t>
  </si>
  <si>
    <t>Science Technologies/technicians</t>
  </si>
  <si>
    <t>Social Sciences</t>
  </si>
  <si>
    <t>Theology and Religious Vocations</t>
  </si>
  <si>
    <t>Transportation and Materials Moving</t>
  </si>
  <si>
    <t>Visual and Performing Arts</t>
  </si>
  <si>
    <t>Benefits</t>
  </si>
  <si>
    <t>Challenge</t>
  </si>
  <si>
    <t>Culture / Working Environment</t>
  </si>
  <si>
    <t>Facility</t>
  </si>
  <si>
    <t>Jobs within Field</t>
  </si>
  <si>
    <t>Just Need a Job / Applied Various Places</t>
  </si>
  <si>
    <t>Location or Convenience</t>
  </si>
  <si>
    <t>Recognition and Growth</t>
  </si>
  <si>
    <t>Referred by Family or Friend</t>
  </si>
  <si>
    <t>Reputation and Brand</t>
  </si>
  <si>
    <t>Working Hours</t>
  </si>
  <si>
    <t>Own Transportation</t>
  </si>
  <si>
    <t>Valid Passport *</t>
  </si>
  <si>
    <t xml:space="preserve">Manual- Required to Select </t>
  </si>
  <si>
    <t>Travel Time to our Office (Min) *</t>
  </si>
  <si>
    <t>Hire</t>
  </si>
  <si>
    <t>Hold</t>
  </si>
  <si>
    <t>Reject and Pool</t>
  </si>
  <si>
    <t>Client Evaluation Recommended</t>
  </si>
  <si>
    <t>Better internal/external hire options</t>
  </si>
  <si>
    <t>Does Not Speak English</t>
  </si>
  <si>
    <t>High risk points (Start SMART)</t>
  </si>
  <si>
    <t>Irrelevant skills or experience</t>
  </si>
  <si>
    <t>Lack of enthusiasm</t>
  </si>
  <si>
    <t>Made unrealistic salary/pay demands</t>
  </si>
  <si>
    <t>Negative comments about past employer</t>
  </si>
  <si>
    <t>Not able to supply references</t>
  </si>
  <si>
    <t>Poor references</t>
  </si>
  <si>
    <t>Poor test scores</t>
  </si>
  <si>
    <t>Poor verbal/written communication</t>
  </si>
  <si>
    <t>Qualified - Will continue to interview candidates</t>
  </si>
  <si>
    <t>Showed up very late (no valid reason)</t>
  </si>
  <si>
    <t>Speaks English, but struggles</t>
  </si>
  <si>
    <t>Unable or Unwilling to meet pre-hire requirements</t>
  </si>
  <si>
    <t>Unable to follow job application directions</t>
  </si>
  <si>
    <t>Under or over qualified</t>
  </si>
  <si>
    <t>Professional Appearance?</t>
  </si>
  <si>
    <t>Provocative</t>
  </si>
  <si>
    <t>Casual</t>
  </si>
  <si>
    <t>Business or Smart Casual</t>
  </si>
  <si>
    <t>Business Attire</t>
  </si>
  <si>
    <t>Complaints and Conditions</t>
  </si>
  <si>
    <t>Hard to Tell</t>
  </si>
  <si>
    <t>Enthusiastic</t>
  </si>
  <si>
    <t>Essay Quality</t>
  </si>
  <si>
    <t>Poorly Written</t>
  </si>
  <si>
    <t>Some Errors, but Acceptable</t>
  </si>
  <si>
    <t>Well Written</t>
  </si>
  <si>
    <t>Vebal Communication</t>
  </si>
  <si>
    <t>Prefers to speak in Local Vernacular</t>
  </si>
  <si>
    <t>English with noticeable grammar errors</t>
  </si>
  <si>
    <t>Clearly understandable</t>
  </si>
  <si>
    <t>Ops Interview Disposition</t>
  </si>
  <si>
    <t>Reject</t>
  </si>
  <si>
    <t>Hold Pending Other Candidates</t>
  </si>
  <si>
    <t>Recommend to Client</t>
  </si>
  <si>
    <t>Ok to Hire</t>
  </si>
  <si>
    <t>Client Interview Disposition</t>
  </si>
  <si>
    <t>Job Opening #</t>
  </si>
  <si>
    <r>
      <t xml:space="preserve">Compose in no more than 100 words everything you want us to know about you. Include your work behavior strengths ans weaknesses, your expectations towards the company, your office mates and superiors. State also your future plans and goals in life </t>
    </r>
    <r>
      <rPr>
        <i/>
        <sz val="9"/>
        <color theme="1"/>
        <rFont val="Calibri"/>
        <family val="2"/>
        <scheme val="minor"/>
      </rPr>
      <t>(Alt + Enter to make another paragraph)</t>
    </r>
  </si>
  <si>
    <t>Autofill from Personal information</t>
  </si>
  <si>
    <t>PROFESSIONAL QUESTIONS</t>
  </si>
  <si>
    <t>Screening Question 1</t>
  </si>
  <si>
    <t>How do you handle pressure at work especially when meeting deadlines?</t>
  </si>
  <si>
    <t>Response</t>
  </si>
  <si>
    <t>Screening Question 2</t>
  </si>
  <si>
    <t>Are you amenable to work on mid shift or night shift?</t>
  </si>
  <si>
    <t>Screening Question 3</t>
  </si>
  <si>
    <t>How comfortable are you working with foreign clients?</t>
  </si>
  <si>
    <t>Job Opening #286</t>
  </si>
  <si>
    <t>Job Opening #256</t>
  </si>
  <si>
    <t>Are you amendable to work on Hawaii Hours?</t>
  </si>
  <si>
    <t>What is customer service for you?</t>
  </si>
  <si>
    <t>Describe a time when you received bad customer service and how did you deal with it?</t>
  </si>
  <si>
    <t>Job Opening #283</t>
  </si>
  <si>
    <t>What is your specific quality that would make you a good fit for this position?</t>
  </si>
  <si>
    <t>Job Opening #292</t>
  </si>
  <si>
    <t>Job Opening #293</t>
  </si>
  <si>
    <t>How do you handle pressure at work especially meeting deadlines?</t>
  </si>
  <si>
    <t>Do you have experience in insurance billing and/or verification?</t>
  </si>
  <si>
    <t>Willing to work on a GY shift and on-site setup?</t>
  </si>
  <si>
    <t>Job Opening #296</t>
  </si>
  <si>
    <t>How comfortable are your working remotely?</t>
  </si>
  <si>
    <t>Do you have any other applications aside from Connext?</t>
  </si>
  <si>
    <t>Are you to work from 4pm to 1am, Monday to Friday?</t>
  </si>
  <si>
    <t>Job Opening #297</t>
  </si>
  <si>
    <t>Do you have experience as a business writter?</t>
  </si>
  <si>
    <t>What is your exposure and understanding of the BPO Industry?</t>
  </si>
  <si>
    <t>How do you think a business journalist can contribute to sales and business development?</t>
  </si>
  <si>
    <t>Job Opening #298</t>
  </si>
  <si>
    <t>How many years of  optical experience do you have?</t>
  </si>
  <si>
    <t>Are you amenable to work on night shift?</t>
  </si>
  <si>
    <t>Job Opening #300</t>
  </si>
  <si>
    <t>Do you have experience working with AR/AP and reconciliation?</t>
  </si>
  <si>
    <t>How long you have been using Quickbooks?</t>
  </si>
  <si>
    <t>Job Opening #290</t>
  </si>
  <si>
    <t>What makes you a good fit for the role?</t>
  </si>
  <si>
    <t>How do you respond to urgent client requests?</t>
  </si>
  <si>
    <t>What's your best practice to ensure that you deliver accurate output all the time?</t>
  </si>
  <si>
    <t>Job Opening #291</t>
  </si>
  <si>
    <t>Answering phones Communicating with customers in emails/ phones Processing invoice / AR Data entry Data management</t>
  </si>
  <si>
    <t>Do you have AR experience? Please give us details.</t>
  </si>
  <si>
    <t>How comfortable are you talking to foreign clients?</t>
  </si>
  <si>
    <t>Job Opening #294</t>
  </si>
  <si>
    <t>What experience do you have with respects to this particular HR OPERATIONS MANAGER position?</t>
  </si>
  <si>
    <t>The HR Shared Services field is always changing. As such, what have you done with regards to personal development when it comes to our posted HR SERVICES MANAGER POSITION in the last 12 months?</t>
  </si>
  <si>
    <t>How would your previous teams describe you as a manager?</t>
  </si>
  <si>
    <t>Job Opening #307</t>
  </si>
  <si>
    <t>Do you have US billing experience in the medical field?</t>
  </si>
  <si>
    <t>Job Opening #306</t>
  </si>
  <si>
    <t>Have you made any preparations in making sure you are ready for a WFH setup? (temporary)</t>
  </si>
  <si>
    <t>Do you have other applications aside from Connext?</t>
  </si>
  <si>
    <t>Are willing to change shift in case the client requires it?</t>
  </si>
  <si>
    <t>Job Opening #302</t>
  </si>
  <si>
    <t>Job Opening #308</t>
  </si>
  <si>
    <t>ROFESSIONAL QUESTIONS</t>
  </si>
  <si>
    <t>How can you mutli-task effectively?</t>
  </si>
  <si>
    <t>What are your long-term career goals?</t>
  </si>
  <si>
    <t>Are you amennable to work on gy shift?</t>
  </si>
  <si>
    <t>Job Opening #299</t>
  </si>
  <si>
    <t>How comfortable are you communicating to foreign clients?</t>
  </si>
  <si>
    <t>Job Opening #305</t>
  </si>
  <si>
    <t>What challenges you in making reports and how do you handle these challenges?</t>
  </si>
  <si>
    <t>What type of excel reporting that you have worked on?</t>
  </si>
  <si>
    <t>Job Opening #309</t>
  </si>
  <si>
    <t>Job Opening #311</t>
  </si>
  <si>
    <t>Describe a situation where you had to make a decision but did not have all of the necessary information available to you?</t>
  </si>
  <si>
    <t>Please describe a situation or time where you’ve had to think outside of the box/be creative, and what the results were from that?</t>
  </si>
  <si>
    <t>Job Opening #310</t>
  </si>
  <si>
    <t>Do you experience in bank reconciliation?</t>
  </si>
  <si>
    <t>Do have any other applications in other companies?</t>
  </si>
  <si>
    <t>Job Opening #303</t>
  </si>
  <si>
    <t>Are you a team player?</t>
  </si>
  <si>
    <t>What are your long term and short term goals?</t>
  </si>
  <si>
    <t>Are you willing to work on PH holidays?</t>
  </si>
  <si>
    <t>Job Opening #304</t>
  </si>
  <si>
    <t>Are you familiar with insurance terminologies?</t>
  </si>
  <si>
    <t>What is your short-term and long-term goal?</t>
  </si>
  <si>
    <t>Job Opening #301</t>
  </si>
  <si>
    <t>Job Opening</t>
  </si>
  <si>
    <t>Mode of Transportation*</t>
  </si>
  <si>
    <t>Ride Share</t>
  </si>
  <si>
    <t>Jeepney</t>
  </si>
  <si>
    <t>Bus</t>
  </si>
  <si>
    <t>Trike</t>
  </si>
  <si>
    <t>Taxi</t>
  </si>
  <si>
    <t>Grab</t>
  </si>
  <si>
    <t>Multiple</t>
  </si>
  <si>
    <t>Other</t>
  </si>
  <si>
    <t>Manual- Required to fill if referred, Select if sponsor</t>
  </si>
  <si>
    <t>Referral</t>
  </si>
  <si>
    <t>Not Eligible</t>
  </si>
  <si>
    <t>Passed CPA</t>
  </si>
  <si>
    <t>Still with Last Employer </t>
  </si>
  <si>
    <t>Calculated field</t>
  </si>
  <si>
    <t>Enter date manually</t>
  </si>
  <si>
    <t>Background color legend:</t>
  </si>
  <si>
    <t>GREY :  Manual Entry of data/details</t>
  </si>
  <si>
    <t>WHITE: Auto fill based on Personal information tab</t>
  </si>
  <si>
    <t>Check</t>
  </si>
  <si>
    <t>ü</t>
  </si>
  <si>
    <t>Birth or Child Care</t>
  </si>
  <si>
    <t>Comp/Benefits</t>
  </si>
  <si>
    <t>Company Sold/Merged/Closed</t>
  </si>
  <si>
    <t>Contract Ended</t>
  </si>
  <si>
    <t>Disagreed with Management</t>
  </si>
  <si>
    <t>FRESH GRADUATE</t>
  </si>
  <si>
    <t>Illness</t>
  </si>
  <si>
    <t>Job Not in Field</t>
  </si>
  <si>
    <t>NEW TO WORKFORCE</t>
  </si>
  <si>
    <t>No Growth Opportunities</t>
  </si>
  <si>
    <t>Personal Reasons</t>
  </si>
  <si>
    <t>Relocation</t>
  </si>
  <si>
    <t>Returned to School</t>
  </si>
  <si>
    <t>Started Business</t>
  </si>
  <si>
    <t>STILL WITH LAST EMPLOYER</t>
  </si>
  <si>
    <t>Stressful Work</t>
  </si>
  <si>
    <t>Terminated - Performance</t>
  </si>
  <si>
    <t>Terminated - Policy Violation</t>
  </si>
  <si>
    <t>Travel Distance</t>
  </si>
  <si>
    <t>Work Hours</t>
  </si>
  <si>
    <t>No 
No "Return Response"</t>
  </si>
  <si>
    <t>Additional information | * Required</t>
  </si>
  <si>
    <t>Autofill from Additional information</t>
  </si>
  <si>
    <t>Fill in only blank fields below or after the question field</t>
  </si>
  <si>
    <t>If not related, leave blank or enter NA</t>
  </si>
  <si>
    <t>Enter only whole numbers for contact numbers, government IDs and other fields with numbers</t>
  </si>
  <si>
    <t>Birthdate enter  MMM DD, YYYY [Sample: Jan 01, 2000]</t>
  </si>
  <si>
    <t>Please do rename or SAVE as for the file name with the sample format [Sample:   Juan_Luna_DelaCruz_Recruitment Form]</t>
  </si>
  <si>
    <t>Yes</t>
  </si>
  <si>
    <t>How to fill the field details</t>
  </si>
  <si>
    <t>K&amp;K</t>
  </si>
  <si>
    <t>NO</t>
  </si>
  <si>
    <t>&lt;option value=''&gt;&lt;/option&gt;</t>
  </si>
  <si>
    <t>&lt;option value='Connext Staff'&gt;</t>
  </si>
  <si>
    <t>&lt;/option&gt;</t>
  </si>
  <si>
    <t>Female</t>
  </si>
  <si>
    <t>Male</t>
  </si>
  <si>
    <t>Benefits&lt;/option&gt;</t>
  </si>
  <si>
    <t>Challenge&lt;/option&gt;</t>
  </si>
  <si>
    <t>Culture / Working Environment&lt;/option&gt;</t>
  </si>
  <si>
    <t>Facility&lt;/option&gt;</t>
  </si>
  <si>
    <t>Jobs within Field&lt;/option&gt;</t>
  </si>
  <si>
    <t>Just Need a Job / Applied Various Places&lt;/option&gt;</t>
  </si>
  <si>
    <t>Location or Convenience&lt;/option&gt;</t>
  </si>
  <si>
    <t>Recognition and Growth&lt;/option&gt;</t>
  </si>
  <si>
    <t>Referred by Family or Friend&lt;/option&gt;</t>
  </si>
  <si>
    <t>Reputation and Brand&lt;/option&gt;</t>
  </si>
  <si>
    <t>Salary&lt;/option&gt;</t>
  </si>
  <si>
    <t>Working Hours&lt;/option&gt;</t>
  </si>
  <si>
    <t>Explain Reason:</t>
  </si>
  <si>
    <t>Attitute Towards Position?</t>
  </si>
  <si>
    <t xml:space="preserve"> Have you experienced posting medical payments?</t>
  </si>
  <si>
    <t>Job Opening #281</t>
  </si>
  <si>
    <t>NA</t>
  </si>
  <si>
    <t>Job Opening #259</t>
  </si>
  <si>
    <t>Are you familiar with purchase contracts?</t>
  </si>
  <si>
    <t>Do you have experience working with escrow, real estate or knowledge in transaction management?</t>
  </si>
  <si>
    <t>Are you amenable to work on Hawaii hours?</t>
  </si>
  <si>
    <t>Senior Accountant</t>
  </si>
  <si>
    <t>Job Opening #269</t>
  </si>
  <si>
    <t>What type of excel reporting have you had in the past?</t>
  </si>
  <si>
    <t>Please Specify:  Jobsteet.com</t>
  </si>
  <si>
    <t>Job Opening #137</t>
  </si>
  <si>
    <t>Do you have expertise and hands on experience with Web Applications and programming languages such as HTML, CSS, JavaScript, JQuery and API's?</t>
  </si>
  <si>
    <t>Do you have functional knowledge or hands on design experience with Web Services (REST, SOAP, etc ..) ?</t>
  </si>
  <si>
    <t>What's your experience in marketing/e-commerce plug ins?</t>
  </si>
  <si>
    <t>Taskus Inc</t>
  </si>
  <si>
    <t>Job Opening #295</t>
  </si>
  <si>
    <t>How would you rate your key competencies for this job?</t>
  </si>
  <si>
    <t>How will you keep your POCs updated with your tasks when working remotely?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</si>
</sst>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mmm\ d\,\ yyyy"/>
    <numFmt numFmtId="166" formatCode="d\-mmm\-yyyy"/>
    <numFmt numFmtId="167" formatCode="#"/>
  </numFmts>
  <fonts count="33"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i/>
      <sz val="9"/>
      <color theme="1"/>
      <name val="Calibri"/>
      <family val="2"/>
      <scheme val="minor"/>
    </font>
    <font>
      <b/>
      <i/>
      <sz val="11"/>
      <color theme="0"/>
      <name val="Calibri"/>
      <family val="2"/>
      <scheme val="minor"/>
    </font>
    <font>
      <b/>
      <sz val="15"/>
      <color theme="0"/>
      <name val="Calibri"/>
      <family val="2"/>
      <scheme val="minor"/>
    </font>
    <font>
      <sz val="9"/>
      <color theme="1"/>
      <name val="Arial"/>
      <family val="2"/>
    </font>
    <font>
      <b/>
      <sz val="9"/>
      <color rgb="FFFF0000"/>
      <name val="Arial"/>
      <family val="2"/>
    </font>
    <font>
      <sz val="11"/>
      <color theme="5"/>
      <name val="Calibri"/>
      <family val="2"/>
      <scheme val="minor"/>
    </font>
    <font>
      <b/>
      <sz val="15"/>
      <color theme="5"/>
      <name val="Calibri"/>
      <family val="2"/>
      <scheme val="minor"/>
    </font>
    <font>
      <u/>
      <sz val="11"/>
      <color theme="1"/>
      <name val="Calibri"/>
      <family val="2"/>
      <scheme val="minor"/>
    </font>
    <font>
      <sz val="9"/>
      <color indexed="81"/>
      <name val="Tahoma"/>
      <family val="2"/>
    </font>
    <font>
      <b/>
      <sz val="9"/>
      <color indexed="81"/>
      <name val="Tahoma"/>
      <family val="2"/>
    </font>
    <font>
      <i/>
      <sz val="11"/>
      <color theme="1"/>
      <name val="Calibri"/>
      <family val="2"/>
      <scheme val="minor"/>
    </font>
    <font>
      <i/>
      <sz val="11"/>
      <name val="Calibri"/>
      <family val="2"/>
      <scheme val="minor"/>
    </font>
    <font>
      <b/>
      <i/>
      <sz val="9"/>
      <color theme="1"/>
      <name val="Calibri"/>
      <family val="2"/>
      <scheme val="minor"/>
    </font>
    <font>
      <b/>
      <i/>
      <sz val="9"/>
      <color theme="0"/>
      <name val="Calibri"/>
      <family val="2"/>
      <scheme val="minor"/>
    </font>
    <font>
      <sz val="9"/>
      <color theme="1"/>
      <name val="Calibri"/>
      <family val="2"/>
      <scheme val="minor"/>
    </font>
    <font>
      <sz val="15"/>
      <color theme="0"/>
      <name val="Calibri"/>
      <family val="2"/>
      <scheme val="minor"/>
    </font>
    <font>
      <sz val="10"/>
      <color theme="1"/>
      <name val="Calibri"/>
      <family val="2"/>
    </font>
    <font>
      <b/>
      <sz val="9"/>
      <color rgb="FF333333"/>
      <name val="Arial"/>
      <family val="2"/>
    </font>
    <font>
      <sz val="9"/>
      <color rgb="FF333333"/>
      <name val="Arial"/>
      <family val="2"/>
    </font>
    <font>
      <sz val="11"/>
      <color rgb="FF000000"/>
      <name val="Calibri"/>
      <family val="2"/>
      <scheme val="minor"/>
    </font>
    <font>
      <u/>
      <sz val="11"/>
      <color theme="10"/>
      <name val="Calibri"/>
      <family val="2"/>
      <scheme val="minor"/>
    </font>
    <font>
      <sz val="11"/>
      <name val="Calibri"/>
      <family val="2"/>
      <scheme val="minor"/>
    </font>
    <font>
      <sz val="11"/>
      <color theme="7"/>
      <name val="Calibri"/>
      <family val="2"/>
      <scheme val="minor"/>
    </font>
    <font>
      <b/>
      <sz val="11"/>
      <color theme="0"/>
      <name val="Calibri"/>
      <family val="2"/>
      <scheme val="minor"/>
    </font>
    <font>
      <sz val="11"/>
      <color theme="1"/>
      <name val="Wingdings"/>
      <charset val="2"/>
    </font>
    <font>
      <sz val="14"/>
      <color theme="1"/>
      <name val="Wingdings"/>
      <charset val="2"/>
    </font>
    <font>
      <sz val="9"/>
      <name val="Calibri"/>
      <family val="2"/>
      <scheme val="minor"/>
    </font>
    <font>
      <b/>
      <sz val="11"/>
      <color theme="2"/>
      <name val="Calibri"/>
      <family val="2"/>
      <scheme val="minor"/>
    </font>
    <font>
      <sz val="14"/>
      <color theme="1"/>
      <name val="Calibri"/>
      <family val="2"/>
      <scheme val="minor"/>
    </font>
  </fonts>
  <fills count="9">
    <fill>
      <patternFill patternType="none"/>
    </fill>
    <fill>
      <patternFill patternType="gray125"/>
    </fill>
    <fill>
      <patternFill patternType="solid">
        <fgColor theme="1"/>
        <bgColor indexed="64"/>
      </patternFill>
    </fill>
    <fill>
      <patternFill patternType="solid">
        <fgColor theme="6"/>
        <bgColor indexed="64"/>
      </patternFill>
    </fill>
    <fill>
      <patternFill patternType="solid">
        <fgColor theme="2" tint="-9.9978637043366805E-2"/>
        <bgColor indexed="64"/>
      </patternFill>
    </fill>
    <fill>
      <patternFill patternType="solid">
        <fgColor rgb="FFFF5050"/>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rgb="FF0070C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14993743705557422"/>
      </left>
      <right style="thin">
        <color theme="0" tint="-0.14996795556505021"/>
      </right>
      <top style="thick">
        <color theme="0" tint="-0.14993743705557422"/>
      </top>
      <bottom style="thin">
        <color theme="0" tint="-0.14996795556505021"/>
      </bottom>
      <diagonal/>
    </border>
    <border>
      <left style="thin">
        <color theme="0" tint="-0.14996795556505021"/>
      </left>
      <right style="thin">
        <color theme="0" tint="-0.14996795556505021"/>
      </right>
      <top style="thick">
        <color theme="0" tint="-0.14993743705557422"/>
      </top>
      <bottom style="thin">
        <color theme="0" tint="-0.14996795556505021"/>
      </bottom>
      <diagonal/>
    </border>
    <border>
      <left style="thin">
        <color theme="0" tint="-0.14996795556505021"/>
      </left>
      <right style="thick">
        <color theme="0" tint="-0.14993743705557422"/>
      </right>
      <top style="thick">
        <color theme="0" tint="-0.14993743705557422"/>
      </top>
      <bottom style="thin">
        <color theme="0" tint="-0.14996795556505021"/>
      </bottom>
      <diagonal/>
    </border>
    <border>
      <left style="thick">
        <color theme="0" tint="-0.14993743705557422"/>
      </left>
      <right style="thin">
        <color theme="0" tint="-0.14996795556505021"/>
      </right>
      <top style="thin">
        <color theme="0" tint="-0.14996795556505021"/>
      </top>
      <bottom style="thin">
        <color theme="0" tint="-0.14996795556505021"/>
      </bottom>
      <diagonal/>
    </border>
    <border>
      <left style="thin">
        <color theme="0" tint="-0.14996795556505021"/>
      </left>
      <right style="thick">
        <color theme="0" tint="-0.14993743705557422"/>
      </right>
      <top style="thin">
        <color theme="0" tint="-0.14996795556505021"/>
      </top>
      <bottom style="thin">
        <color theme="0" tint="-0.14996795556505021"/>
      </bottom>
      <diagonal/>
    </border>
    <border>
      <left style="thick">
        <color theme="0" tint="-0.14993743705557422"/>
      </left>
      <right/>
      <top/>
      <bottom/>
      <diagonal/>
    </border>
    <border>
      <left/>
      <right style="thick">
        <color theme="0" tint="-0.14993743705557422"/>
      </right>
      <top/>
      <bottom/>
      <diagonal/>
    </border>
    <border>
      <left style="medium">
        <color rgb="FFFF9999"/>
      </left>
      <right style="thin">
        <color rgb="FFFF9999"/>
      </right>
      <top style="thin">
        <color rgb="FFFF9999"/>
      </top>
      <bottom style="thin">
        <color rgb="FFFF9999"/>
      </bottom>
      <diagonal/>
    </border>
    <border>
      <left style="thin">
        <color rgb="FFFF9999"/>
      </left>
      <right style="thin">
        <color rgb="FFFF9999"/>
      </right>
      <top style="thin">
        <color rgb="FFFF9999"/>
      </top>
      <bottom style="thin">
        <color rgb="FFFF9999"/>
      </bottom>
      <diagonal/>
    </border>
    <border>
      <left style="thin">
        <color rgb="FFFF9999"/>
      </left>
      <right style="medium">
        <color rgb="FFFF9999"/>
      </right>
      <top style="thin">
        <color rgb="FFFF9999"/>
      </top>
      <bottom style="thin">
        <color rgb="FFFF999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3">
    <xf numFmtId="0" fontId="0" fillId="0" borderId="0"/>
    <xf numFmtId="0" fontId="20" fillId="0" borderId="0"/>
    <xf numFmtId="0" fontId="24" fillId="0" borderId="0" applyNumberFormat="0" applyFill="0" applyBorder="0" applyAlignment="0" applyProtection="0"/>
  </cellStyleXfs>
  <cellXfs count="180">
    <xf numFmtId="0" fontId="0" fillId="0" borderId="0" xfId="0"/>
    <xf numFmtId="0" fontId="2" fillId="0" borderId="0" xfId="0" applyFont="1"/>
    <xf numFmtId="0" fontId="0" fillId="0" borderId="0" xfId="0" applyAlignment="1">
      <alignment vertical="center"/>
    </xf>
    <xf numFmtId="0" fontId="4" fillId="0" borderId="1" xfId="0" applyFont="1" applyBorder="1" applyAlignment="1">
      <alignment horizontal="left"/>
    </xf>
    <xf numFmtId="0" fontId="4" fillId="0" borderId="1" xfId="0" applyFont="1" applyBorder="1" applyAlignment="1">
      <alignment vertical="center"/>
    </xf>
    <xf numFmtId="0" fontId="4" fillId="0" borderId="1" xfId="0" applyFont="1" applyBorder="1" applyAlignment="1" applyProtection="1">
      <alignment vertical="center"/>
    </xf>
    <xf numFmtId="0" fontId="4" fillId="0" borderId="1" xfId="0" applyFont="1" applyBorder="1" applyAlignment="1" applyProtection="1">
      <alignment vertical="top"/>
    </xf>
    <xf numFmtId="0" fontId="4" fillId="0" borderId="1" xfId="0" applyFont="1" applyBorder="1" applyAlignment="1" applyProtection="1">
      <alignment vertical="top" wrapText="1"/>
    </xf>
    <xf numFmtId="0" fontId="15" fillId="0" borderId="1" xfId="0" applyFont="1" applyBorder="1" applyAlignment="1" applyProtection="1">
      <alignment vertical="center"/>
      <protection locked="0"/>
    </xf>
    <xf numFmtId="0" fontId="4" fillId="0" borderId="1" xfId="0" applyFont="1" applyBorder="1" applyProtection="1">
      <protection locked="0"/>
    </xf>
    <xf numFmtId="3" fontId="4" fillId="0" borderId="1" xfId="0" applyNumberFormat="1" applyFont="1" applyBorder="1" applyAlignment="1" applyProtection="1">
      <alignment vertical="top"/>
      <protection locked="0"/>
    </xf>
    <xf numFmtId="0" fontId="6" fillId="3" borderId="13" xfId="0" applyFont="1" applyFill="1" applyBorder="1" applyProtection="1">
      <protection locked="0"/>
    </xf>
    <xf numFmtId="0" fontId="0" fillId="0" borderId="0" xfId="0" applyProtection="1">
      <protection locked="0"/>
    </xf>
    <xf numFmtId="0" fontId="6" fillId="3" borderId="0" xfId="0" applyFont="1" applyFill="1" applyProtection="1">
      <protection locked="0"/>
    </xf>
    <xf numFmtId="0" fontId="6" fillId="3" borderId="0" xfId="0" applyFont="1" applyFill="1" applyAlignment="1" applyProtection="1">
      <alignment wrapText="1"/>
      <protection locked="0"/>
    </xf>
    <xf numFmtId="0" fontId="0" fillId="0" borderId="0" xfId="0" applyAlignment="1" applyProtection="1">
      <alignment horizontal="center"/>
      <protection locked="0"/>
    </xf>
    <xf numFmtId="0" fontId="0" fillId="0" borderId="13" xfId="0" applyBorder="1" applyProtection="1">
      <protection locked="0"/>
    </xf>
    <xf numFmtId="0" fontId="9" fillId="0" borderId="0" xfId="0" applyFont="1" applyProtection="1">
      <protection locked="0"/>
    </xf>
    <xf numFmtId="0" fontId="19" fillId="3" borderId="14" xfId="0" applyFont="1" applyFill="1" applyBorder="1" applyAlignment="1" applyProtection="1">
      <alignment wrapText="1"/>
      <protection locked="0"/>
    </xf>
    <xf numFmtId="0" fontId="19" fillId="3" borderId="15" xfId="0" applyFont="1" applyFill="1" applyBorder="1" applyAlignment="1" applyProtection="1">
      <alignment horizontal="center" wrapText="1"/>
      <protection locked="0"/>
    </xf>
    <xf numFmtId="0" fontId="19" fillId="3" borderId="16" xfId="0" applyFont="1" applyFill="1" applyBorder="1" applyAlignment="1" applyProtection="1">
      <alignment wrapText="1"/>
      <protection locked="0"/>
    </xf>
    <xf numFmtId="0" fontId="3" fillId="5" borderId="18" xfId="0" applyFont="1" applyFill="1" applyBorder="1" applyProtection="1">
      <protection locked="0"/>
    </xf>
    <xf numFmtId="0" fontId="0" fillId="0" borderId="18" xfId="0" applyFont="1" applyBorder="1" applyProtection="1">
      <protection locked="0"/>
    </xf>
    <xf numFmtId="0" fontId="1" fillId="0" borderId="0" xfId="0" applyFont="1" applyProtection="1">
      <protection locked="0"/>
    </xf>
    <xf numFmtId="0" fontId="0" fillId="0" borderId="0" xfId="0" applyAlignment="1" applyProtection="1">
      <alignment wrapText="1"/>
      <protection locked="0"/>
    </xf>
    <xf numFmtId="0" fontId="2" fillId="3" borderId="13" xfId="0" applyFont="1" applyFill="1" applyBorder="1" applyAlignment="1" applyProtection="1">
      <alignment wrapText="1"/>
      <protection locked="0"/>
    </xf>
    <xf numFmtId="0" fontId="1" fillId="0" borderId="0" xfId="0" applyFont="1" applyAlignment="1" applyProtection="1">
      <alignment vertical="center"/>
      <protection locked="0"/>
    </xf>
    <xf numFmtId="0" fontId="0" fillId="0" borderId="13" xfId="0" applyBorder="1" applyAlignment="1" applyProtection="1">
      <alignment horizontal="left" indent="2"/>
      <protection locked="0"/>
    </xf>
    <xf numFmtId="0" fontId="2" fillId="3" borderId="13" xfId="0" applyFont="1" applyFill="1" applyBorder="1" applyProtection="1">
      <protection locked="0"/>
    </xf>
    <xf numFmtId="0" fontId="0" fillId="0" borderId="0" xfId="0" applyAlignment="1" applyProtection="1">
      <alignment horizontal="left" indent="2"/>
      <protection locked="0"/>
    </xf>
    <xf numFmtId="15" fontId="0" fillId="0" borderId="0" xfId="0" applyNumberFormat="1" applyProtection="1">
      <protection locked="0"/>
    </xf>
    <xf numFmtId="0" fontId="2" fillId="3" borderId="0" xfId="0" applyFont="1" applyFill="1" applyProtection="1">
      <protection locked="0"/>
    </xf>
    <xf numFmtId="0" fontId="11" fillId="0" borderId="0" xfId="0" applyFont="1" applyProtection="1">
      <protection locked="0"/>
    </xf>
    <xf numFmtId="0" fontId="0" fillId="0" borderId="0" xfId="0" applyAlignment="1" applyProtection="1">
      <alignment horizontal="left" indent="1"/>
      <protection locked="0"/>
    </xf>
    <xf numFmtId="0" fontId="0" fillId="0" borderId="20" xfId="0" applyBorder="1" applyProtection="1">
      <protection locked="0"/>
    </xf>
    <xf numFmtId="0" fontId="0" fillId="0" borderId="18" xfId="0" applyBorder="1" applyProtection="1">
      <protection locked="0"/>
    </xf>
    <xf numFmtId="0" fontId="0" fillId="0" borderId="23" xfId="0" applyBorder="1" applyProtection="1">
      <protection locked="0"/>
    </xf>
    <xf numFmtId="0" fontId="0" fillId="0" borderId="23" xfId="0" applyFont="1" applyBorder="1" applyProtection="1">
      <protection locked="0"/>
    </xf>
    <xf numFmtId="0" fontId="2" fillId="4" borderId="13" xfId="0" applyFont="1" applyFill="1" applyBorder="1" applyProtection="1">
      <protection locked="0"/>
    </xf>
    <xf numFmtId="0" fontId="0" fillId="0" borderId="0" xfId="0" applyAlignment="1" applyProtection="1">
      <alignment horizontal="center" vertical="center"/>
      <protection locked="0"/>
    </xf>
    <xf numFmtId="0" fontId="0" fillId="0" borderId="13" xfId="0" applyBorder="1" applyAlignment="1" applyProtection="1">
      <alignment wrapText="1"/>
      <protection locked="0"/>
    </xf>
    <xf numFmtId="0" fontId="0" fillId="0" borderId="0" xfId="0" applyAlignment="1" applyProtection="1">
      <alignment horizontal="left"/>
      <protection locked="0"/>
    </xf>
    <xf numFmtId="0" fontId="0" fillId="0" borderId="13" xfId="0" applyBorder="1" applyAlignment="1" applyProtection="1">
      <alignment horizontal="left"/>
    </xf>
    <xf numFmtId="0" fontId="0" fillId="0" borderId="13" xfId="0" applyBorder="1" applyAlignment="1" applyProtection="1">
      <alignment horizontal="left" wrapText="1"/>
    </xf>
    <xf numFmtId="166" fontId="0" fillId="0" borderId="13" xfId="0" applyNumberFormat="1" applyBorder="1" applyAlignment="1" applyProtection="1">
      <alignment horizontal="left"/>
    </xf>
    <xf numFmtId="0" fontId="0" fillId="0" borderId="13" xfId="0" applyBorder="1" applyAlignment="1" applyProtection="1">
      <alignment horizontal="left" vertical="center"/>
    </xf>
    <xf numFmtId="0" fontId="0" fillId="0" borderId="18" xfId="0" applyFont="1" applyBorder="1" applyAlignment="1" applyProtection="1">
      <alignment wrapText="1"/>
      <protection locked="0"/>
    </xf>
    <xf numFmtId="0" fontId="3" fillId="5" borderId="17" xfId="0" applyFont="1" applyFill="1" applyBorder="1" applyProtection="1"/>
    <xf numFmtId="0" fontId="0" fillId="0" borderId="17" xfId="0" applyFont="1" applyBorder="1" applyProtection="1"/>
    <xf numFmtId="0" fontId="0" fillId="0" borderId="17" xfId="0" applyFont="1" applyBorder="1" applyAlignment="1" applyProtection="1">
      <alignment vertical="center"/>
    </xf>
    <xf numFmtId="0" fontId="0" fillId="0" borderId="19" xfId="0" applyBorder="1" applyProtection="1"/>
    <xf numFmtId="0" fontId="6" fillId="3" borderId="17" xfId="0" applyFont="1" applyFill="1" applyBorder="1" applyAlignment="1" applyProtection="1">
      <alignment wrapText="1"/>
    </xf>
    <xf numFmtId="0" fontId="0" fillId="0" borderId="17" xfId="0" applyBorder="1" applyProtection="1"/>
    <xf numFmtId="0" fontId="0" fillId="6" borderId="17" xfId="0" applyFill="1" applyBorder="1" applyProtection="1"/>
    <xf numFmtId="0" fontId="6" fillId="7" borderId="21" xfId="0" applyFont="1" applyFill="1" applyBorder="1" applyAlignment="1" applyProtection="1">
      <alignment wrapText="1"/>
    </xf>
    <xf numFmtId="0" fontId="0" fillId="0" borderId="21" xfId="0" applyBorder="1" applyAlignment="1" applyProtection="1">
      <alignment wrapText="1"/>
    </xf>
    <xf numFmtId="0" fontId="0" fillId="0" borderId="21" xfId="0" applyBorder="1" applyProtection="1"/>
    <xf numFmtId="0" fontId="21" fillId="0" borderId="0" xfId="0" applyFont="1" applyAlignment="1" applyProtection="1"/>
    <xf numFmtId="0" fontId="2" fillId="0" borderId="0" xfId="0" applyFont="1" applyAlignment="1" applyProtection="1"/>
    <xf numFmtId="0" fontId="0" fillId="0" borderId="0" xfId="0" applyAlignment="1" applyProtection="1"/>
    <xf numFmtId="0" fontId="0" fillId="0" borderId="0" xfId="0" applyAlignment="1" applyProtection="1">
      <alignment wrapText="1"/>
    </xf>
    <xf numFmtId="0" fontId="0" fillId="0" borderId="0" xfId="0" applyProtection="1"/>
    <xf numFmtId="0" fontId="1" fillId="0" borderId="0" xfId="0" applyFont="1" applyAlignment="1" applyProtection="1"/>
    <xf numFmtId="0" fontId="23" fillId="0" borderId="0" xfId="0" applyFont="1" applyAlignment="1" applyProtection="1">
      <alignment vertical="center"/>
    </xf>
    <xf numFmtId="0" fontId="23" fillId="0" borderId="0" xfId="0" applyFont="1" applyAlignment="1" applyProtection="1">
      <alignment vertical="center" wrapText="1"/>
    </xf>
    <xf numFmtId="0" fontId="0" fillId="0" borderId="0" xfId="0" applyNumberFormat="1" applyProtection="1"/>
    <xf numFmtId="0" fontId="26" fillId="0" borderId="0" xfId="0" applyFont="1" applyAlignment="1" applyProtection="1"/>
    <xf numFmtId="0" fontId="0" fillId="0" borderId="17" xfId="0" applyFont="1" applyBorder="1" applyAlignment="1" applyProtection="1">
      <alignment horizontal="left" vertical="center"/>
    </xf>
    <xf numFmtId="0" fontId="0" fillId="0" borderId="18" xfId="0" applyFont="1" applyBorder="1" applyAlignment="1" applyProtection="1">
      <alignment horizontal="left" vertical="center"/>
      <protection locked="0"/>
    </xf>
    <xf numFmtId="0" fontId="28" fillId="0" borderId="0" xfId="0" applyFont="1" applyProtection="1"/>
    <xf numFmtId="0" fontId="29" fillId="0" borderId="0" xfId="0" applyFont="1" applyProtection="1"/>
    <xf numFmtId="0" fontId="1" fillId="0" borderId="0" xfId="0" applyFont="1" applyProtection="1"/>
    <xf numFmtId="0" fontId="0" fillId="4" borderId="21" xfId="0" applyFill="1" applyBorder="1" applyAlignment="1" applyProtection="1">
      <alignment wrapText="1"/>
    </xf>
    <xf numFmtId="0" fontId="3" fillId="5" borderId="13" xfId="0" applyFont="1" applyFill="1" applyBorder="1" applyAlignment="1" applyProtection="1">
      <alignment horizontal="center" vertical="center"/>
      <protection locked="0"/>
    </xf>
    <xf numFmtId="165" fontId="0" fillId="4" borderId="13" xfId="0" applyNumberFormat="1" applyFill="1" applyBorder="1" applyAlignment="1" applyProtection="1">
      <alignment horizontal="center" vertical="center"/>
      <protection locked="0"/>
    </xf>
    <xf numFmtId="0" fontId="0" fillId="4" borderId="13" xfId="0" applyFont="1" applyFill="1" applyBorder="1" applyAlignment="1" applyProtection="1">
      <alignment horizontal="center" vertical="center"/>
    </xf>
    <xf numFmtId="0" fontId="0" fillId="4" borderId="13" xfId="0" applyFont="1" applyFill="1" applyBorder="1" applyAlignment="1" applyProtection="1">
      <alignment horizontal="center" vertical="center"/>
      <protection locked="0"/>
    </xf>
    <xf numFmtId="1" fontId="0" fillId="0" borderId="13" xfId="0" applyNumberFormat="1" applyFont="1" applyFill="1" applyBorder="1" applyAlignment="1" applyProtection="1">
      <alignment horizontal="center" vertical="center"/>
      <protection hidden="1"/>
    </xf>
    <xf numFmtId="2" fontId="0" fillId="4" borderId="13" xfId="0" applyNumberFormat="1" applyFont="1" applyFill="1" applyBorder="1" applyAlignment="1" applyProtection="1">
      <alignment horizontal="center" vertical="center"/>
      <protection locked="0"/>
    </xf>
    <xf numFmtId="0" fontId="0" fillId="0" borderId="0" xfId="0" applyBorder="1" applyAlignment="1" applyProtection="1">
      <alignment horizontal="center" vertical="center"/>
    </xf>
    <xf numFmtId="0" fontId="0" fillId="0" borderId="13" xfId="0" applyBorder="1" applyAlignment="1" applyProtection="1">
      <alignment horizontal="center" vertical="center"/>
    </xf>
    <xf numFmtId="165" fontId="2" fillId="4" borderId="13" xfId="0" applyNumberFormat="1" applyFont="1" applyFill="1" applyBorder="1" applyAlignment="1" applyProtection="1">
      <alignment horizontal="center" vertical="center"/>
      <protection locked="0"/>
    </xf>
    <xf numFmtId="0" fontId="0" fillId="0" borderId="0" xfId="0" applyBorder="1" applyAlignment="1" applyProtection="1">
      <alignment horizontal="center" vertical="center" wrapText="1"/>
    </xf>
    <xf numFmtId="0" fontId="0" fillId="0" borderId="22" xfId="0" applyBorder="1" applyAlignment="1" applyProtection="1">
      <alignment horizontal="center" vertical="center"/>
    </xf>
    <xf numFmtId="2" fontId="0" fillId="4" borderId="22" xfId="0" applyNumberFormat="1" applyFont="1" applyFill="1" applyBorder="1" applyAlignment="1" applyProtection="1">
      <alignment horizontal="center" vertical="center"/>
      <protection locked="0"/>
    </xf>
    <xf numFmtId="0" fontId="30" fillId="0" borderId="26" xfId="0" applyFont="1" applyBorder="1" applyProtection="1"/>
    <xf numFmtId="2" fontId="18" fillId="0" borderId="27" xfId="0" applyNumberFormat="1" applyFont="1" applyFill="1" applyBorder="1" applyAlignment="1" applyProtection="1">
      <alignment horizontal="center" vertical="center"/>
      <protection locked="0"/>
    </xf>
    <xf numFmtId="0" fontId="18" fillId="0" borderId="27" xfId="0" applyFont="1" applyFill="1" applyBorder="1" applyAlignment="1" applyProtection="1">
      <alignment horizontal="center" vertical="center"/>
      <protection locked="0"/>
    </xf>
    <xf numFmtId="165" fontId="18" fillId="0" borderId="27" xfId="0" applyNumberFormat="1" applyFont="1" applyFill="1" applyBorder="1" applyAlignment="1" applyProtection="1">
      <alignment horizontal="center" vertical="center"/>
      <protection locked="0"/>
    </xf>
    <xf numFmtId="0" fontId="30" fillId="6" borderId="26" xfId="0" applyFont="1" applyFill="1" applyBorder="1" applyProtection="1"/>
    <xf numFmtId="0" fontId="30" fillId="0" borderId="28" xfId="0" applyFont="1" applyBorder="1" applyProtection="1"/>
    <xf numFmtId="0" fontId="31" fillId="8" borderId="0" xfId="0" applyFont="1" applyFill="1"/>
    <xf numFmtId="0" fontId="25" fillId="0" borderId="17" xfId="0" applyFont="1" applyBorder="1" applyProtection="1"/>
    <xf numFmtId="0" fontId="25" fillId="6" borderId="17" xfId="0" applyFont="1" applyFill="1" applyBorder="1" applyProtection="1"/>
    <xf numFmtId="165" fontId="0" fillId="0" borderId="13" xfId="0" applyNumberFormat="1" applyFill="1" applyBorder="1" applyAlignment="1" applyProtection="1">
      <alignment horizontal="center" vertical="center"/>
      <protection hidden="1"/>
    </xf>
    <xf numFmtId="0" fontId="0" fillId="0" borderId="13" xfId="0" applyFont="1" applyFill="1" applyBorder="1" applyAlignment="1" applyProtection="1">
      <alignment horizontal="center" vertical="center"/>
      <protection hidden="1"/>
    </xf>
    <xf numFmtId="2" fontId="0" fillId="0" borderId="13" xfId="0" applyNumberFormat="1" applyFont="1" applyFill="1" applyBorder="1" applyAlignment="1" applyProtection="1">
      <alignment horizontal="center" vertical="center"/>
      <protection hidden="1"/>
    </xf>
    <xf numFmtId="167" fontId="0" fillId="0" borderId="13" xfId="0" applyNumberFormat="1" applyFont="1" applyFill="1" applyBorder="1" applyAlignment="1" applyProtection="1">
      <alignment horizontal="center" vertical="center"/>
      <protection hidden="1"/>
    </xf>
    <xf numFmtId="164" fontId="0" fillId="0" borderId="13" xfId="0" applyNumberFormat="1" applyFont="1" applyFill="1" applyBorder="1" applyAlignment="1" applyProtection="1">
      <alignment horizontal="center" vertical="center"/>
      <protection hidden="1"/>
    </xf>
    <xf numFmtId="3" fontId="18" fillId="0" borderId="27" xfId="0" applyNumberFormat="1" applyFont="1" applyFill="1" applyBorder="1" applyAlignment="1" applyProtection="1">
      <alignment horizontal="center" vertical="center"/>
      <protection locked="0"/>
    </xf>
    <xf numFmtId="3" fontId="18" fillId="0" borderId="29" xfId="0" applyNumberFormat="1" applyFont="1" applyFill="1" applyBorder="1" applyAlignment="1" applyProtection="1">
      <alignment horizontal="center" vertical="center"/>
      <protection locked="0"/>
    </xf>
    <xf numFmtId="0" fontId="0" fillId="4" borderId="13" xfId="0" applyFill="1" applyBorder="1" applyAlignment="1" applyProtection="1">
      <alignment horizontal="center" vertical="center"/>
      <protection locked="0"/>
    </xf>
    <xf numFmtId="0" fontId="0" fillId="4" borderId="13" xfId="0" applyFill="1" applyBorder="1" applyAlignment="1" applyProtection="1">
      <alignment horizontal="center" vertical="center" wrapText="1"/>
      <protection locked="0"/>
    </xf>
    <xf numFmtId="2" fontId="32" fillId="0" borderId="13" xfId="0" applyNumberFormat="1" applyFont="1" applyFill="1" applyBorder="1" applyAlignment="1" applyProtection="1">
      <alignment horizontal="center" vertical="center"/>
      <protection hidden="1"/>
    </xf>
    <xf numFmtId="0" fontId="4" fillId="0" borderId="1" xfId="0" applyFont="1" applyBorder="1" applyAlignment="1" applyProtection="1">
      <alignment horizontal="left" vertical="center"/>
    </xf>
    <xf numFmtId="0" fontId="4" fillId="0" borderId="1" xfId="0" applyFont="1" applyBorder="1" applyAlignment="1">
      <alignment horizontal="center" vertical="center"/>
    </xf>
    <xf numFmtId="0" fontId="4" fillId="0" borderId="1" xfId="0" applyFont="1" applyBorder="1" applyAlignment="1" applyProtection="1">
      <alignment horizontal="left"/>
      <protection locked="0"/>
    </xf>
    <xf numFmtId="0" fontId="23" fillId="0" borderId="0" xfId="0" applyFont="1" applyAlignment="1">
      <alignment vertical="center" wrapText="1"/>
    </xf>
    <xf numFmtId="0" fontId="22" fillId="0" borderId="0" xfId="0" applyFont="1"/>
    <xf numFmtId="0" fontId="0" fillId="4" borderId="13" xfId="0" applyFont="1" applyFill="1" applyBorder="1" applyAlignment="1" applyProtection="1">
      <alignment horizontal="center" vertical="center" wrapText="1"/>
      <protection locked="0"/>
    </xf>
    <xf numFmtId="0" fontId="27" fillId="8" borderId="0" xfId="0" applyFont="1" applyFill="1" applyAlignment="1" applyProtection="1">
      <alignment horizontal="left"/>
      <protection locked="0"/>
    </xf>
    <xf numFmtId="0" fontId="4" fillId="0" borderId="1" xfId="0" applyFont="1" applyBorder="1" applyAlignment="1" applyProtection="1">
      <alignment horizontal="left" vertical="top"/>
    </xf>
    <xf numFmtId="0" fontId="4" fillId="0" borderId="1" xfId="0" applyFont="1"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5" fillId="2" borderId="1" xfId="0" applyFont="1" applyFill="1" applyBorder="1" applyAlignment="1" applyProtection="1">
      <alignment horizontal="left" vertical="center"/>
    </xf>
    <xf numFmtId="0" fontId="4" fillId="0" borderId="1" xfId="0" applyFont="1" applyBorder="1" applyAlignment="1" applyProtection="1">
      <alignment horizontal="center" vertical="center"/>
    </xf>
    <xf numFmtId="0" fontId="16" fillId="0" borderId="1" xfId="0" applyFont="1" applyBorder="1" applyAlignment="1" applyProtection="1">
      <alignment horizontal="left" vertical="center"/>
    </xf>
    <xf numFmtId="0" fontId="16" fillId="0" borderId="1" xfId="0" applyFont="1" applyBorder="1" applyAlignment="1" applyProtection="1">
      <alignment horizontal="left" vertical="top"/>
    </xf>
    <xf numFmtId="0" fontId="5" fillId="2" borderId="1" xfId="0" applyFont="1" applyFill="1" applyBorder="1" applyAlignment="1" applyProtection="1">
      <alignment horizontal="center" vertical="center"/>
    </xf>
    <xf numFmtId="1" fontId="14" fillId="0" borderId="1" xfId="0" quotePrefix="1" applyNumberFormat="1" applyFont="1" applyBorder="1" applyAlignment="1" applyProtection="1">
      <alignment horizontal="center" vertical="center"/>
      <protection locked="0"/>
    </xf>
    <xf numFmtId="1" fontId="14" fillId="0" borderId="1" xfId="0" applyNumberFormat="1" applyFont="1" applyBorder="1" applyAlignment="1" applyProtection="1">
      <alignment horizontal="center" vertical="center"/>
      <protection locked="0"/>
    </xf>
    <xf numFmtId="0" fontId="24" fillId="0" borderId="1" xfId="2"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4" fillId="0" borderId="10" xfId="0" applyFont="1" applyBorder="1" applyAlignment="1" applyProtection="1">
      <alignment horizontal="center" vertical="center" wrapText="1"/>
    </xf>
    <xf numFmtId="0" fontId="4" fillId="0" borderId="11" xfId="0" applyFont="1" applyBorder="1" applyAlignment="1" applyProtection="1">
      <alignment horizontal="center" vertical="center" wrapText="1"/>
    </xf>
    <xf numFmtId="0" fontId="14" fillId="0" borderId="10" xfId="0" applyFont="1" applyBorder="1" applyAlignment="1" applyProtection="1">
      <alignment horizontal="center" vertical="center" wrapText="1"/>
      <protection locked="0"/>
    </xf>
    <xf numFmtId="0" fontId="14" fillId="0" borderId="11" xfId="0" applyFont="1" applyBorder="1" applyAlignment="1" applyProtection="1">
      <alignment horizontal="center" vertical="center" wrapText="1"/>
      <protection locked="0"/>
    </xf>
    <xf numFmtId="0" fontId="4" fillId="0" borderId="1" xfId="0" applyFont="1" applyBorder="1" applyAlignment="1" applyProtection="1">
      <alignment horizontal="left" vertical="center"/>
    </xf>
    <xf numFmtId="0" fontId="14" fillId="0" borderId="1" xfId="0" applyFont="1" applyBorder="1" applyAlignment="1">
      <alignment horizontal="center" vertical="center"/>
    </xf>
    <xf numFmtId="0" fontId="5" fillId="2" borderId="10" xfId="0" applyFont="1" applyFill="1" applyBorder="1" applyAlignment="1" applyProtection="1">
      <alignment horizontal="left" vertical="center"/>
      <protection locked="0"/>
    </xf>
    <xf numFmtId="0" fontId="5" fillId="2" borderId="12" xfId="0" applyFont="1" applyFill="1" applyBorder="1" applyAlignment="1" applyProtection="1">
      <alignment horizontal="left" vertical="center"/>
      <protection locked="0"/>
    </xf>
    <xf numFmtId="0" fontId="5" fillId="2" borderId="11" xfId="0" applyFont="1" applyFill="1" applyBorder="1" applyAlignment="1" applyProtection="1">
      <alignment horizontal="left" vertical="center"/>
      <protection locked="0"/>
    </xf>
    <xf numFmtId="0" fontId="4" fillId="0" borderId="10"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1" xfId="0" applyFont="1" applyBorder="1" applyAlignment="1" applyProtection="1">
      <alignment horizontal="left" vertical="center"/>
      <protection locked="0"/>
    </xf>
    <xf numFmtId="0" fontId="4" fillId="0" borderId="1" xfId="0" applyFont="1" applyBorder="1" applyAlignment="1" applyProtection="1">
      <alignment horizontal="center" vertical="center" wrapText="1"/>
    </xf>
    <xf numFmtId="14" fontId="0" fillId="0" borderId="1" xfId="0" applyNumberFormat="1" applyBorder="1" applyAlignment="1" applyProtection="1">
      <alignment horizontal="center" vertical="center"/>
      <protection locked="0"/>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5" fillId="2" borderId="10" xfId="0" applyFont="1" applyFill="1" applyBorder="1" applyAlignment="1" applyProtection="1">
      <alignment horizontal="center" vertical="center"/>
    </xf>
    <xf numFmtId="0" fontId="5" fillId="2" borderId="12" xfId="0" applyFont="1" applyFill="1" applyBorder="1" applyAlignment="1" applyProtection="1">
      <alignment horizontal="center" vertical="center"/>
    </xf>
    <xf numFmtId="0" fontId="5" fillId="2" borderId="11" xfId="0" applyFont="1" applyFill="1" applyBorder="1" applyAlignment="1" applyProtection="1">
      <alignment horizontal="center" vertical="center"/>
    </xf>
    <xf numFmtId="0" fontId="4" fillId="0" borderId="10" xfId="0" applyFont="1" applyBorder="1" applyAlignment="1" applyProtection="1">
      <alignment horizontal="left" vertical="center"/>
    </xf>
    <xf numFmtId="0" fontId="4" fillId="0" borderId="11" xfId="0" applyFont="1" applyBorder="1" applyAlignment="1" applyProtection="1">
      <alignment horizontal="left" vertical="center"/>
    </xf>
    <xf numFmtId="0" fontId="4" fillId="0" borderId="1" xfId="0" applyFont="1" applyBorder="1" applyAlignment="1">
      <alignment horizontal="left" vertical="top"/>
    </xf>
    <xf numFmtId="0" fontId="4" fillId="0" borderId="1" xfId="0" applyFont="1" applyBorder="1" applyAlignment="1" applyProtection="1">
      <alignment horizontal="center"/>
    </xf>
    <xf numFmtId="0" fontId="14" fillId="0" borderId="1" xfId="0" applyFont="1" applyBorder="1" applyAlignment="1" applyProtection="1">
      <alignment horizontal="center"/>
      <protection locked="0"/>
    </xf>
    <xf numFmtId="0" fontId="16" fillId="0" borderId="1" xfId="0" applyFont="1" applyBorder="1" applyAlignment="1" applyProtection="1">
      <alignment horizontal="center"/>
    </xf>
    <xf numFmtId="0" fontId="4" fillId="4" borderId="1" xfId="0" applyFont="1" applyFill="1" applyBorder="1" applyAlignment="1" applyProtection="1">
      <alignment horizontal="center"/>
    </xf>
    <xf numFmtId="0" fontId="4" fillId="0" borderId="1" xfId="0" applyFont="1" applyBorder="1" applyAlignment="1" applyProtection="1">
      <alignment horizontal="center"/>
      <protection locked="0"/>
    </xf>
    <xf numFmtId="0" fontId="17" fillId="2" borderId="1" xfId="0" applyFont="1" applyFill="1" applyBorder="1" applyAlignment="1">
      <alignment horizontal="left"/>
    </xf>
    <xf numFmtId="0" fontId="4" fillId="0" borderId="1" xfId="0" applyFont="1" applyBorder="1" applyAlignment="1">
      <alignment horizontal="center"/>
    </xf>
    <xf numFmtId="0" fontId="4" fillId="0" borderId="1" xfId="0" applyFont="1" applyBorder="1" applyAlignment="1" applyProtection="1">
      <alignment horizontal="left"/>
    </xf>
    <xf numFmtId="0" fontId="4" fillId="0" borderId="1" xfId="0" applyFont="1" applyBorder="1" applyAlignment="1" applyProtection="1">
      <alignment horizontal="left"/>
      <protection locked="0"/>
    </xf>
    <xf numFmtId="0" fontId="5" fillId="2" borderId="1" xfId="0" applyFont="1" applyFill="1" applyBorder="1" applyAlignment="1" applyProtection="1">
      <alignment horizontal="left"/>
    </xf>
    <xf numFmtId="0" fontId="4" fillId="0" borderId="1" xfId="0" applyFont="1" applyBorder="1" applyAlignment="1" applyProtection="1">
      <alignment horizontal="left" wrapText="1"/>
    </xf>
    <xf numFmtId="0" fontId="4" fillId="0" borderId="1" xfId="0" applyFont="1" applyBorder="1" applyAlignment="1" applyProtection="1">
      <alignment horizontal="center" wrapText="1"/>
      <protection locked="0"/>
    </xf>
    <xf numFmtId="0" fontId="4" fillId="0" borderId="1" xfId="0" applyFont="1" applyBorder="1" applyAlignment="1" applyProtection="1">
      <alignment horizontal="left" vertical="center" wrapText="1"/>
    </xf>
    <xf numFmtId="0" fontId="4" fillId="0" borderId="1" xfId="0" applyFont="1" applyBorder="1" applyAlignment="1">
      <alignment horizontal="right"/>
    </xf>
    <xf numFmtId="0" fontId="0" fillId="0" borderId="1" xfId="0" applyBorder="1" applyAlignment="1" applyProtection="1">
      <alignment horizontal="center"/>
      <protection locked="0"/>
    </xf>
    <xf numFmtId="0" fontId="4" fillId="0" borderId="1" xfId="0" applyFont="1" applyBorder="1" applyAlignment="1" applyProtection="1">
      <alignment horizontal="center" vertical="top"/>
      <protection locked="0"/>
    </xf>
    <xf numFmtId="0" fontId="0" fillId="2" borderId="1" xfId="0" applyFill="1" applyBorder="1" applyAlignment="1">
      <alignment horizontal="center"/>
    </xf>
    <xf numFmtId="14" fontId="4" fillId="0" borderId="1" xfId="0" applyNumberFormat="1" applyFont="1" applyBorder="1" applyAlignment="1" applyProtection="1">
      <alignment horizontal="center" vertical="top"/>
      <protection locked="0"/>
    </xf>
    <xf numFmtId="0" fontId="4" fillId="0" borderId="1" xfId="0" applyFont="1" applyBorder="1" applyAlignment="1">
      <alignment horizontal="left"/>
    </xf>
    <xf numFmtId="0" fontId="5" fillId="2" borderId="1" xfId="0" applyFont="1" applyFill="1" applyBorder="1" applyAlignment="1">
      <alignment horizontal="left"/>
    </xf>
    <xf numFmtId="0" fontId="18" fillId="0" borderId="1" xfId="0" applyFont="1" applyBorder="1" applyAlignment="1" applyProtection="1">
      <alignment horizontal="left" vertical="center" wrapText="1"/>
    </xf>
    <xf numFmtId="0" fontId="5" fillId="2" borderId="24" xfId="0" applyFont="1" applyFill="1" applyBorder="1" applyAlignment="1" applyProtection="1">
      <alignment horizontal="left" vertical="center"/>
    </xf>
    <xf numFmtId="0" fontId="5" fillId="2" borderId="25" xfId="0" applyFont="1" applyFill="1" applyBorder="1" applyAlignment="1" applyProtection="1">
      <alignment horizontal="left" vertical="center"/>
    </xf>
    <xf numFmtId="0" fontId="4" fillId="0" borderId="10" xfId="0" applyFont="1" applyBorder="1" applyAlignment="1" applyProtection="1">
      <alignment horizontal="center" vertical="center"/>
    </xf>
    <xf numFmtId="0" fontId="4" fillId="0" borderId="12" xfId="0" applyFont="1" applyBorder="1" applyAlignment="1" applyProtection="1">
      <alignment horizontal="center" vertical="center"/>
    </xf>
    <xf numFmtId="0" fontId="4" fillId="0" borderId="11" xfId="0" applyFont="1" applyBorder="1" applyAlignment="1" applyProtection="1">
      <alignment horizontal="center" vertical="center"/>
    </xf>
  </cellXfs>
  <cellStyles count="3">
    <cellStyle name="Hyperlink" xfId="2" builtinId="8"/>
    <cellStyle name="Normal" xfId="0" builtinId="0"/>
    <cellStyle name="Normal 2" xfId="1" xr:uid="{5AAF8F30-FE3B-463D-BB68-7296B3B0E2FC}"/>
  </cellStyles>
  <dxfs count="2">
    <dxf>
      <fill>
        <patternFill>
          <bgColor rgb="FFFF66CC"/>
        </patternFill>
      </fill>
    </dxf>
    <dxf>
      <fill>
        <patternFill>
          <bgColor rgb="FFFF66CC"/>
        </patternFill>
      </fill>
    </dxf>
  </dxfs>
  <tableStyles count="0" defaultTableStyle="TableStyleMedium2" defaultPivotStyle="PivotStyleLight16"/>
  <colors>
    <mruColors>
      <color rgb="FFFF66CC"/>
      <color rgb="FFFF999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0</xdr:row>
      <xdr:rowOff>0</xdr:rowOff>
    </xdr:from>
    <xdr:to>
      <xdr:col>4</xdr:col>
      <xdr:colOff>365760</xdr:colOff>
      <xdr:row>4</xdr:row>
      <xdr:rowOff>182880</xdr:rowOff>
    </xdr:to>
    <xdr:pic>
      <xdr:nvPicPr>
        <xdr:cNvPr id="2" name="Picture 1" descr="connext logo">
          <a:extLst>
            <a:ext uri="{FF2B5EF4-FFF2-40B4-BE49-F238E27FC236}">
              <a16:creationId xmlns:a16="http://schemas.microsoft.com/office/drawing/2014/main" id="{BE32F404-1339-4D9E-BF2B-0DED89B1644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6840" t="27777" r="16667" b="30904"/>
        <a:stretch>
          <a:fillRect/>
        </a:stretch>
      </xdr:blipFill>
      <xdr:spPr bwMode="auto">
        <a:xfrm>
          <a:off x="45720" y="0"/>
          <a:ext cx="2948940" cy="94488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A33B-3219-4A2E-A25A-3595897C321F}">
  <sheetPr codeName="Sheet1">
    <tabColor rgb="FFFF0000"/>
  </sheetPr>
  <dimension ref="B1:R193"/>
  <sheetViews>
    <sheetView showGridLines="0" tabSelected="1" zoomScale="85" zoomScaleNormal="85" workbookViewId="0">
      <pane ySplit="1" topLeftCell="A2" activePane="bottomLeft" state="frozen"/>
      <selection activeCell="I1" sqref="I1"/>
      <selection pane="bottomLeft" activeCell="J3" sqref="J3"/>
    </sheetView>
  </sheetViews>
  <sheetFormatPr defaultRowHeight="15" outlineLevelCol="1" x14ac:dyDescent="0.25"/>
  <cols>
    <col min="1" max="1" width="2.140625" style="12" customWidth="1"/>
    <col min="2" max="2" width="75.7109375" style="12" hidden="1" customWidth="1" outlineLevel="1"/>
    <col min="3" max="3" width="55.85546875" style="41" hidden="1" customWidth="1" outlineLevel="1"/>
    <col min="4" max="4" width="19.28515625" style="12" customWidth="1" collapsed="1"/>
    <col min="5" max="5" width="11.7109375" style="12" hidden="1" customWidth="1" outlineLevel="1"/>
    <col min="6" max="6" width="37.7109375" style="12" hidden="1" customWidth="1" outlineLevel="1"/>
    <col min="7" max="7" width="18.5703125" style="12" hidden="1" customWidth="1" outlineLevel="1"/>
    <col min="8" max="8" width="9.140625" style="12" hidden="1" customWidth="1" outlineLevel="1"/>
    <col min="9" max="9" width="9.140625" style="12" collapsed="1"/>
    <col min="10" max="10" width="121.7109375" style="12" bestFit="1" customWidth="1"/>
    <col min="11" max="11" width="46.7109375" style="15" customWidth="1"/>
    <col min="12" max="12" width="41.5703125" style="12" customWidth="1"/>
    <col min="13" max="16384" width="9.140625" style="12"/>
  </cols>
  <sheetData>
    <row r="1" spans="2:12" ht="18.75" customHeight="1" x14ac:dyDescent="0.3">
      <c r="B1" s="11" t="s">
        <v>210</v>
      </c>
      <c r="C1" s="11" t="s">
        <v>172</v>
      </c>
      <c r="E1" s="13" t="s">
        <v>107</v>
      </c>
      <c r="F1" s="13" t="s">
        <v>120</v>
      </c>
      <c r="G1" s="13" t="s">
        <v>106</v>
      </c>
      <c r="J1" s="14" t="s">
        <v>157</v>
      </c>
    </row>
    <row r="2" spans="2:12" ht="15.75" thickBot="1" x14ac:dyDescent="0.3">
      <c r="B2" s="16" t="s">
        <v>0</v>
      </c>
      <c r="C2" s="42" t="str">
        <f>IF(ISBLANK('Personal Information'!A8),"",'Personal Information'!A8)</f>
        <v/>
      </c>
      <c r="F2" s="12" t="s">
        <v>85</v>
      </c>
      <c r="G2" s="17"/>
    </row>
    <row r="3" spans="2:12" ht="20.25" thickTop="1" x14ac:dyDescent="0.3">
      <c r="B3" s="16" t="s">
        <v>1</v>
      </c>
      <c r="C3" s="42" t="str">
        <f>IF(OR('Personal Information'!C8="N/A",'Personal Information'!C8="NA"),"",IF(ISBLANK('Personal Information'!C8),"",'Personal Information'!C8))</f>
        <v/>
      </c>
      <c r="F3" s="12" t="s">
        <v>86</v>
      </c>
      <c r="J3" s="18" t="s">
        <v>156</v>
      </c>
      <c r="K3" s="19" t="s">
        <v>172</v>
      </c>
      <c r="L3" s="20" t="s">
        <v>106</v>
      </c>
    </row>
    <row r="4" spans="2:12" x14ac:dyDescent="0.25">
      <c r="B4" s="16" t="s">
        <v>2</v>
      </c>
      <c r="C4" s="42" t="str">
        <f>IF(ISBLANK('Personal Information'!E8),"",'Personal Information'!E8)</f>
        <v/>
      </c>
      <c r="F4" s="12" t="s">
        <v>87</v>
      </c>
      <c r="J4" s="47" t="s">
        <v>416</v>
      </c>
      <c r="K4" s="73">
        <v>295</v>
      </c>
      <c r="L4" s="21" t="s">
        <v>159</v>
      </c>
    </row>
    <row r="5" spans="2:12" x14ac:dyDescent="0.25">
      <c r="B5" s="16" t="s">
        <v>3</v>
      </c>
      <c r="C5" s="42" t="str">
        <f>IF(ISBLANK('Personal Information'!G8),"",'Personal Information'!G8)</f>
        <v/>
      </c>
      <c r="F5" s="12" t="s">
        <v>88</v>
      </c>
      <c r="J5" s="48" t="s">
        <v>85</v>
      </c>
      <c r="K5" s="74">
        <v>44498</v>
      </c>
      <c r="L5" s="22" t="s">
        <v>513</v>
      </c>
    </row>
    <row r="6" spans="2:12" x14ac:dyDescent="0.25">
      <c r="B6" s="16" t="s">
        <v>4</v>
      </c>
      <c r="C6" s="42" t="str">
        <f>IF(ISBLANK('Personal Information'!I8),"",'Personal Information'!I8)</f>
        <v/>
      </c>
      <c r="F6" s="23" t="s">
        <v>89</v>
      </c>
      <c r="J6" s="48" t="s">
        <v>158</v>
      </c>
      <c r="K6" s="76" t="s">
        <v>577</v>
      </c>
      <c r="L6" s="22" t="s">
        <v>159</v>
      </c>
    </row>
    <row r="7" spans="2:12" ht="30" x14ac:dyDescent="0.25">
      <c r="B7" s="16" t="s">
        <v>5</v>
      </c>
      <c r="C7" s="43" t="str">
        <f>IF(ISBLANK('Personal Information'!A10),"",'Personal Information'!A10)</f>
        <v/>
      </c>
      <c r="D7" s="24"/>
      <c r="F7" s="12" t="s">
        <v>90</v>
      </c>
      <c r="J7" s="48" t="s">
        <v>160</v>
      </c>
      <c r="K7" s="109" t="s">
        <v>266</v>
      </c>
      <c r="L7" s="22" t="s">
        <v>371</v>
      </c>
    </row>
    <row r="8" spans="2:12" x14ac:dyDescent="0.25">
      <c r="B8" s="16" t="s">
        <v>6</v>
      </c>
      <c r="C8" s="42" t="str">
        <f>IF(ISBLANK('Personal Information'!F10),"",'Personal Information'!F10)</f>
        <v/>
      </c>
      <c r="F8" s="12" t="s">
        <v>91</v>
      </c>
      <c r="J8" s="48" t="s">
        <v>161</v>
      </c>
      <c r="K8" s="76" t="s">
        <v>577</v>
      </c>
      <c r="L8" s="22" t="s">
        <v>159</v>
      </c>
    </row>
    <row r="9" spans="2:12" x14ac:dyDescent="0.25">
      <c r="B9" s="16" t="s">
        <v>7</v>
      </c>
      <c r="C9" s="42" t="str">
        <f>IF(ISBLANK('Personal Information'!A19),"",'Personal Information'!A19)</f>
        <v/>
      </c>
      <c r="F9" s="23" t="s">
        <v>92</v>
      </c>
      <c r="J9" s="48" t="s">
        <v>162</v>
      </c>
      <c r="K9" s="74">
        <v>44468</v>
      </c>
      <c r="L9" s="22" t="s">
        <v>513</v>
      </c>
    </row>
    <row r="10" spans="2:12" x14ac:dyDescent="0.25">
      <c r="B10" s="16" t="s">
        <v>8</v>
      </c>
      <c r="C10" s="42" t="str">
        <f>IF(ISBLANK('Personal Information'!F19),"",'Personal Information'!F19)</f>
        <v/>
      </c>
      <c r="F10" s="12" t="s">
        <v>93</v>
      </c>
      <c r="J10" s="48" t="s">
        <v>163</v>
      </c>
      <c r="K10" s="76" t="s">
        <v>305</v>
      </c>
      <c r="L10" s="22" t="s">
        <v>371</v>
      </c>
    </row>
    <row r="11" spans="2:12" ht="30" x14ac:dyDescent="0.25">
      <c r="B11" s="16" t="s">
        <v>9</v>
      </c>
      <c r="C11" s="42" t="str">
        <f>IF(ISBLANK('Personal Information'!C20),"",'Personal Information'!C20)</f>
        <v/>
      </c>
      <c r="F11" s="23" t="s">
        <v>94</v>
      </c>
      <c r="J11" s="49" t="str">
        <f>IF($K$10="Indeed.com","Sponsored?*",_xlfn.IFNA(IF($K$10=VLOOKUP($K$10,'Ref Select'!$U$2:$U$9,1,0),"Referred by:*",""),""))</f>
        <v/>
      </c>
      <c r="K11" s="78"/>
      <c r="L11" s="46" t="s">
        <v>507</v>
      </c>
    </row>
    <row r="12" spans="2:12" x14ac:dyDescent="0.25">
      <c r="B12" s="16" t="s">
        <v>10</v>
      </c>
      <c r="C12" s="42" t="str">
        <f>IF(ISBLANK('Personal Information'!C21),"",'Personal Information'!C21)</f>
        <v/>
      </c>
      <c r="F12" s="23" t="s">
        <v>95</v>
      </c>
      <c r="J12" s="48" t="s">
        <v>164</v>
      </c>
      <c r="K12" s="95" t="str">
        <f>IF(OR(C2=0,C2=""),"",C2)</f>
        <v/>
      </c>
      <c r="L12" s="22" t="s">
        <v>418</v>
      </c>
    </row>
    <row r="13" spans="2:12" x14ac:dyDescent="0.25">
      <c r="B13" s="16" t="s">
        <v>203</v>
      </c>
      <c r="C13" s="42" t="str">
        <f>IF(ISBLANK('Personal Information'!C22),"",'Personal Information'!C22)</f>
        <v/>
      </c>
      <c r="F13" s="23" t="s">
        <v>96</v>
      </c>
      <c r="J13" s="48" t="s">
        <v>165</v>
      </c>
      <c r="K13" s="95" t="str">
        <f>IF(OR(C4=0,C4=""),"",C4)</f>
        <v/>
      </c>
      <c r="L13" s="22" t="s">
        <v>418</v>
      </c>
    </row>
    <row r="14" spans="2:12" ht="30" x14ac:dyDescent="0.25">
      <c r="B14" s="25" t="s">
        <v>12</v>
      </c>
      <c r="C14" s="42"/>
      <c r="F14" s="26" t="s">
        <v>97</v>
      </c>
      <c r="J14" s="67" t="s">
        <v>3</v>
      </c>
      <c r="K14" s="95" t="str">
        <f>IF(OR(C5=0,C5=""),"",C5)</f>
        <v/>
      </c>
      <c r="L14" s="68" t="s">
        <v>418</v>
      </c>
    </row>
    <row r="15" spans="2:12" x14ac:dyDescent="0.25">
      <c r="B15" s="27" t="s">
        <v>13</v>
      </c>
      <c r="C15" s="42"/>
      <c r="F15" s="12" t="s">
        <v>98</v>
      </c>
      <c r="J15" s="48" t="s">
        <v>166</v>
      </c>
      <c r="K15" s="95" t="str">
        <f>IF(OR(C6=0,C6=""),"",C6)</f>
        <v/>
      </c>
      <c r="L15" s="22" t="s">
        <v>418</v>
      </c>
    </row>
    <row r="16" spans="2:12" x14ac:dyDescent="0.25">
      <c r="B16" s="27" t="s">
        <v>14</v>
      </c>
      <c r="C16" s="42" t="str">
        <f>IF(ISBLANK('Personal Information'!G23),"",'Personal Information'!G23)</f>
        <v/>
      </c>
      <c r="F16" s="12" t="s">
        <v>99</v>
      </c>
      <c r="J16" s="48" t="s">
        <v>167</v>
      </c>
      <c r="K16" s="95" t="str">
        <f>IF(OR(C28=0,C28=""),"",C28)</f>
        <v/>
      </c>
      <c r="L16" s="22" t="s">
        <v>418</v>
      </c>
    </row>
    <row r="17" spans="2:18" x14ac:dyDescent="0.25">
      <c r="B17" s="27" t="s">
        <v>15</v>
      </c>
      <c r="C17" s="42" t="str">
        <f>IF(ISBLANK('Personal Information'!G24),"",'Personal Information'!G24)</f>
        <v/>
      </c>
      <c r="F17" s="12" t="s">
        <v>100</v>
      </c>
      <c r="J17" s="92" t="s">
        <v>24</v>
      </c>
      <c r="K17" s="98" t="str">
        <f>IF(OR(C26=0,C26=""),"",C26 )</f>
        <v/>
      </c>
      <c r="L17" s="22" t="s">
        <v>418</v>
      </c>
    </row>
    <row r="18" spans="2:18" x14ac:dyDescent="0.25">
      <c r="B18" s="27" t="s">
        <v>16</v>
      </c>
      <c r="C18" s="42" t="str">
        <f>IF(ISBLANK('Personal Information'!G25),"",'Personal Information'!G25)</f>
        <v/>
      </c>
      <c r="F18" s="23" t="s">
        <v>101</v>
      </c>
      <c r="J18" s="92" t="s">
        <v>168</v>
      </c>
      <c r="K18" s="77" t="str">
        <f ca="1">IF(ISTEXT(K17),"",(YEAR(TODAY())-YEAR(K17)))</f>
        <v/>
      </c>
      <c r="L18" s="22" t="s">
        <v>512</v>
      </c>
    </row>
    <row r="19" spans="2:18" x14ac:dyDescent="0.25">
      <c r="B19" s="27" t="s">
        <v>17</v>
      </c>
      <c r="C19" s="42" t="str">
        <f>IF(ISBLANK('Personal Information'!G26),"",'Personal Information'!G26)</f>
        <v/>
      </c>
      <c r="F19" s="12" t="s">
        <v>102</v>
      </c>
      <c r="J19" s="92" t="s">
        <v>173</v>
      </c>
      <c r="K19" s="96" t="str">
        <f>IF(ISBLANK(VLOOKUP($J19,'Additional Information'!$A:$B,2,0)),"",_xlfn.IFNA(VLOOKUP($J19,'Additional Information'!$A:$B,2,0),""))</f>
        <v/>
      </c>
      <c r="L19" s="22" t="s">
        <v>541</v>
      </c>
    </row>
    <row r="20" spans="2:18" x14ac:dyDescent="0.25">
      <c r="B20" s="28" t="s">
        <v>18</v>
      </c>
      <c r="C20" s="42" t="str">
        <f>IF(ISBLANK('Personal Information'!H21),"",'Personal Information'!H21)</f>
        <v/>
      </c>
      <c r="F20" s="12" t="s">
        <v>103</v>
      </c>
      <c r="J20" s="92" t="s">
        <v>174</v>
      </c>
      <c r="K20" s="95" t="str">
        <f>IF(ISBLANK(VLOOKUP($J20,'Additional Information'!$A:$B,2,0)),"",_xlfn.IFNA(VLOOKUP($J20,'Additional Information'!$A:$B,2,0),""))</f>
        <v/>
      </c>
      <c r="L20" s="22" t="s">
        <v>541</v>
      </c>
    </row>
    <row r="21" spans="2:18" ht="15" customHeight="1" x14ac:dyDescent="0.25">
      <c r="B21" s="28" t="s">
        <v>19</v>
      </c>
      <c r="C21" s="42">
        <f>IF('Personal Information'!H23="others","Others |  "&amp;" "&amp;SUBSTITUTE('Personal Information'!H25,"Please Specify: ",""),'Personal Information'!H23)</f>
        <v>0</v>
      </c>
      <c r="F21" s="12" t="s">
        <v>104</v>
      </c>
      <c r="J21" s="92" t="s">
        <v>175</v>
      </c>
      <c r="K21" s="94" t="str">
        <f>IF(ISBLANK(VLOOKUP($J21,'Additional Information'!$A:$B,2,0)),"",_xlfn.IFNA(VLOOKUP($J21,'Additional Information'!$A:$B,2,0),""))</f>
        <v/>
      </c>
      <c r="L21" s="22" t="s">
        <v>541</v>
      </c>
      <c r="N21" s="24"/>
      <c r="O21" s="24"/>
      <c r="P21" s="24"/>
    </row>
    <row r="22" spans="2:18" x14ac:dyDescent="0.25">
      <c r="B22" s="28" t="s">
        <v>20</v>
      </c>
      <c r="C22" s="42"/>
      <c r="F22" s="23" t="s">
        <v>105</v>
      </c>
      <c r="G22" s="17"/>
      <c r="J22" s="92" t="s">
        <v>176</v>
      </c>
      <c r="K22" s="78" t="s">
        <v>547</v>
      </c>
      <c r="L22" s="22" t="s">
        <v>371</v>
      </c>
      <c r="N22" s="24"/>
      <c r="O22" s="24"/>
      <c r="P22" s="24"/>
    </row>
    <row r="23" spans="2:18" x14ac:dyDescent="0.25">
      <c r="B23" s="27" t="s">
        <v>21</v>
      </c>
      <c r="C23" s="42" t="str">
        <f>IF(ISBLANK('Personal Information'!C24),"",'Personal Information'!C24)</f>
        <v/>
      </c>
      <c r="F23" s="12" t="s">
        <v>108</v>
      </c>
      <c r="G23" s="17"/>
      <c r="J23" s="92" t="s">
        <v>177</v>
      </c>
      <c r="K23" s="94" t="str">
        <f>IF(ISBLANK(VLOOKUP($J23,'Additional Information'!$A:$B,2,0)),"",_xlfn.IFNA(VLOOKUP($J23,'Additional Information'!$A:$B,2,0),""))</f>
        <v/>
      </c>
      <c r="L23" s="22" t="s">
        <v>541</v>
      </c>
      <c r="N23" s="110" t="s">
        <v>514</v>
      </c>
      <c r="O23" s="110"/>
      <c r="P23" s="110"/>
      <c r="Q23" s="110"/>
      <c r="R23" s="110"/>
    </row>
    <row r="24" spans="2:18" x14ac:dyDescent="0.25">
      <c r="B24" s="27" t="s">
        <v>22</v>
      </c>
      <c r="C24" s="42" t="str">
        <f>IF(ISBLANK('Personal Information'!C25),"",'Personal Information'!C25)</f>
        <v/>
      </c>
      <c r="F24" s="23" t="s">
        <v>109</v>
      </c>
      <c r="G24" s="17"/>
      <c r="J24" s="92" t="s">
        <v>178</v>
      </c>
      <c r="K24" s="94" t="str">
        <f>IF(ISBLANK(VLOOKUP($J24,'Additional Information'!$A:$B,2,0)),"",_xlfn.IFNA(VLOOKUP($J24,'Additional Information'!$A:$B,2,0),""))</f>
        <v/>
      </c>
      <c r="L24" s="22" t="s">
        <v>541</v>
      </c>
      <c r="N24" s="12" t="s">
        <v>515</v>
      </c>
    </row>
    <row r="25" spans="2:18" ht="18.75" x14ac:dyDescent="0.25">
      <c r="B25" s="27" t="s">
        <v>23</v>
      </c>
      <c r="C25" s="42" t="str">
        <f>IF(ISBLANK('Personal Information'!C26),"",'Personal Information'!C26)</f>
        <v/>
      </c>
      <c r="D25" s="29"/>
      <c r="F25" s="23" t="s">
        <v>110</v>
      </c>
      <c r="G25" s="17"/>
      <c r="J25" s="92" t="s">
        <v>511</v>
      </c>
      <c r="K25" s="103" t="str">
        <f>IF(ISBLANK(VLOOKUP($J25,'Additional Information'!$A:$B,2,0)),"",_xlfn.IFNA(VLOOKUP($J25,'Additional Information'!$A:$B,2,0),""))</f>
        <v/>
      </c>
      <c r="L25" s="22" t="s">
        <v>541</v>
      </c>
      <c r="N25" s="12" t="s">
        <v>516</v>
      </c>
    </row>
    <row r="26" spans="2:18" x14ac:dyDescent="0.25">
      <c r="B26" s="16" t="s">
        <v>24</v>
      </c>
      <c r="C26" s="44" t="str">
        <f>IF(ISBLANK('Personal Information'!A28),"",'Personal Information'!A28)</f>
        <v/>
      </c>
      <c r="D26" s="29"/>
      <c r="F26" s="12" t="s">
        <v>111</v>
      </c>
      <c r="J26" s="92" t="s">
        <v>179</v>
      </c>
      <c r="K26" s="78" t="s">
        <v>547</v>
      </c>
      <c r="L26" s="22" t="s">
        <v>371</v>
      </c>
    </row>
    <row r="27" spans="2:18" x14ac:dyDescent="0.25">
      <c r="B27" s="16" t="s">
        <v>25</v>
      </c>
      <c r="C27" s="42" t="str">
        <f>IF(ISBLANK('Personal Information'!C28),"",'Personal Information'!C28)</f>
        <v/>
      </c>
      <c r="D27" s="29"/>
      <c r="F27" s="12" t="s">
        <v>112</v>
      </c>
      <c r="J27" s="92" t="s">
        <v>180</v>
      </c>
      <c r="K27" s="95" t="str">
        <f>IF(ISBLANK(VLOOKUP($J27,'Additional Information'!$A:$B,2,0)),"",_xlfn.IFNA(VLOOKUP($J27,'Additional Information'!$A:$B,2,0),""))</f>
        <v/>
      </c>
      <c r="L27" s="22" t="s">
        <v>541</v>
      </c>
    </row>
    <row r="28" spans="2:18" x14ac:dyDescent="0.25">
      <c r="B28" s="16" t="s">
        <v>26</v>
      </c>
      <c r="C28" s="42" t="str">
        <f>IF(ISBLANK('Personal Information'!F28),"",'Personal Information'!F28)</f>
        <v/>
      </c>
      <c r="D28" s="30"/>
      <c r="F28" s="12" t="s">
        <v>113</v>
      </c>
      <c r="J28" s="92" t="s">
        <v>181</v>
      </c>
      <c r="K28" s="95" t="str">
        <f>IF(ISBLANK(VLOOKUP($J28,'Additional Information'!$A:$B,2,0)),"",_xlfn.IFNA(VLOOKUP($J28,'Additional Information'!$A:$B,2,0),""))</f>
        <v/>
      </c>
      <c r="L28" s="22" t="s">
        <v>541</v>
      </c>
    </row>
    <row r="29" spans="2:18" x14ac:dyDescent="0.25">
      <c r="B29" s="16" t="s">
        <v>27</v>
      </c>
      <c r="C29" s="42" t="str">
        <f>IF(ISBLANK('Personal Information'!H28),"",'Personal Information'!H28)</f>
        <v/>
      </c>
      <c r="F29" s="12" t="s">
        <v>114</v>
      </c>
      <c r="J29" s="92" t="s">
        <v>182</v>
      </c>
      <c r="K29" s="95" t="str">
        <f>IF(ISBLANK(VLOOKUP($J29,'Additional Information'!$A:$B,2,0)),"",_xlfn.IFNA(VLOOKUP($J29,'Additional Information'!$A:$B,2,0),""))</f>
        <v/>
      </c>
      <c r="L29" s="22" t="s">
        <v>541</v>
      </c>
    </row>
    <row r="30" spans="2:18" ht="18.75" x14ac:dyDescent="0.25">
      <c r="B30" s="28" t="s">
        <v>28</v>
      </c>
      <c r="C30" s="42"/>
      <c r="F30" s="12" t="s">
        <v>115</v>
      </c>
      <c r="J30" s="92" t="s">
        <v>183</v>
      </c>
      <c r="K30" s="103" t="str">
        <f>IF(ISBLANK(VLOOKUP($J30,'Additional Information'!$A:$B,2,0)),"",_xlfn.IFNA(VLOOKUP($J30,'Additional Information'!$A:$B,2,0),""))</f>
        <v/>
      </c>
      <c r="L30" s="22" t="s">
        <v>541</v>
      </c>
    </row>
    <row r="31" spans="2:18" ht="18.75" x14ac:dyDescent="0.25">
      <c r="B31" s="16" t="s">
        <v>29</v>
      </c>
      <c r="C31" s="42"/>
      <c r="F31" s="12" t="s">
        <v>116</v>
      </c>
      <c r="J31" s="92" t="s">
        <v>184</v>
      </c>
      <c r="K31" s="103" t="str">
        <f>IF(ISBLANK(VLOOKUP($J31,'Additional Information'!$A:$B,2,0)),"",_xlfn.IFNA(VLOOKUP($J31,'Additional Information'!$A:$B,2,0),""))</f>
        <v/>
      </c>
      <c r="L31" s="22" t="s">
        <v>541</v>
      </c>
    </row>
    <row r="32" spans="2:18" ht="18.75" x14ac:dyDescent="0.25">
      <c r="B32" s="27" t="s">
        <v>30</v>
      </c>
      <c r="C32" s="42" t="str">
        <f>IF(ISBLANK('Personal Information'!G30),"",'Personal Information'!G30)</f>
        <v/>
      </c>
      <c r="F32" s="12" t="s">
        <v>117</v>
      </c>
      <c r="J32" s="92" t="s">
        <v>185</v>
      </c>
      <c r="K32" s="103" t="str">
        <f>IF(ISBLANK(VLOOKUP($J32,'Additional Information'!$A:$B,2,0)),"",_xlfn.IFNA(VLOOKUP($J32,'Additional Information'!$A:$B,2,0),""))</f>
        <v/>
      </c>
      <c r="L32" s="22" t="s">
        <v>541</v>
      </c>
    </row>
    <row r="33" spans="2:12" x14ac:dyDescent="0.25">
      <c r="B33" s="27" t="s">
        <v>31</v>
      </c>
      <c r="C33" s="42" t="str">
        <f>IF(ISBLANK('Personal Information'!I30),"",'Personal Information'!I30)</f>
        <v/>
      </c>
      <c r="F33" s="12" t="s">
        <v>118</v>
      </c>
      <c r="J33" s="92" t="s">
        <v>186</v>
      </c>
      <c r="K33" s="95" t="str">
        <f>IF(ISBLANK(VLOOKUP($J33,'Additional Information'!$A:$B,2,0)),"",_xlfn.IFNA(VLOOKUP($J33,'Additional Information'!$A:$B,2,0),""))</f>
        <v/>
      </c>
      <c r="L33" s="22" t="s">
        <v>541</v>
      </c>
    </row>
    <row r="34" spans="2:12" x14ac:dyDescent="0.25">
      <c r="B34" s="16" t="s">
        <v>32</v>
      </c>
      <c r="C34" s="42" t="str">
        <f>IF(ISBLANK('Personal Information'!B31),"",'Personal Information'!B31)</f>
        <v/>
      </c>
      <c r="F34" s="23" t="s">
        <v>119</v>
      </c>
      <c r="J34" s="92" t="s">
        <v>187</v>
      </c>
      <c r="K34" s="96" t="str">
        <f>IF(ISBLANK(VLOOKUP($J34,'Additional Information'!$A:$B,2,0)),"",_xlfn.IFNA(VLOOKUP($J34,'Additional Information'!$A:$B,2,0),""))</f>
        <v/>
      </c>
      <c r="L34" s="22" t="s">
        <v>541</v>
      </c>
    </row>
    <row r="35" spans="2:12" x14ac:dyDescent="0.25">
      <c r="B35" s="16" t="s">
        <v>33</v>
      </c>
      <c r="C35" s="42" t="str">
        <f>IF(ISBLANK('Personal Information'!B32),"",'Personal Information'!B32)</f>
        <v/>
      </c>
      <c r="F35" s="12" t="s">
        <v>121</v>
      </c>
      <c r="J35" s="93" t="str">
        <f>IF(K34="Accounting","Passed CPA Exam?*","")</f>
        <v/>
      </c>
      <c r="K35" s="78" t="s">
        <v>170</v>
      </c>
      <c r="L35" s="22" t="s">
        <v>159</v>
      </c>
    </row>
    <row r="36" spans="2:12" x14ac:dyDescent="0.25">
      <c r="B36" s="16" t="s">
        <v>34</v>
      </c>
      <c r="C36" s="42" t="str">
        <f>IF(ISBLANK('Personal Information'!B33),"",'Personal Information'!B33)</f>
        <v/>
      </c>
      <c r="F36" s="12" t="s">
        <v>122</v>
      </c>
      <c r="J36" s="92" t="s">
        <v>188</v>
      </c>
      <c r="K36" s="95" t="str">
        <f>IF(ISBLANK(VLOOKUP($J36,'Additional Information'!$A:$B,2,0)),"",_xlfn.IFNA(VLOOKUP($J36,'Additional Information'!$A:$B,2,0),""))</f>
        <v/>
      </c>
      <c r="L36" s="22" t="s">
        <v>541</v>
      </c>
    </row>
    <row r="37" spans="2:12" x14ac:dyDescent="0.25">
      <c r="B37" s="16" t="s">
        <v>35</v>
      </c>
      <c r="C37" s="42"/>
      <c r="F37" s="12" t="s">
        <v>123</v>
      </c>
      <c r="J37" s="92" t="s">
        <v>189</v>
      </c>
      <c r="K37" s="95" t="str">
        <f>IF(ISBLANK(VLOOKUP($J37,'Additional Information'!$A:$B,2,0)),"",_xlfn.IFNA(VLOOKUP($J37,'Additional Information'!$A:$B,2,0),""))</f>
        <v/>
      </c>
      <c r="L37" s="22" t="s">
        <v>541</v>
      </c>
    </row>
    <row r="38" spans="2:12" x14ac:dyDescent="0.25">
      <c r="B38" s="27" t="s">
        <v>30</v>
      </c>
      <c r="C38" s="42" t="str">
        <f>IF(ISBLANK('Personal Information'!G34),"",'Personal Information'!G34)</f>
        <v/>
      </c>
      <c r="F38" s="12" t="s">
        <v>124</v>
      </c>
      <c r="J38" s="92" t="s">
        <v>372</v>
      </c>
      <c r="K38" s="95" t="str">
        <f>IF(ISBLANK(VLOOKUP($J38,'Additional Information'!$A:$B,2,0)),"",_xlfn.IFNA(VLOOKUP($J38,'Additional Information'!$A:$B,2,0),""))</f>
        <v/>
      </c>
      <c r="L38" s="22" t="s">
        <v>541</v>
      </c>
    </row>
    <row r="39" spans="2:12" x14ac:dyDescent="0.25">
      <c r="B39" s="27" t="s">
        <v>31</v>
      </c>
      <c r="C39" s="42" t="str">
        <f>IF(ISBLANK('Personal Information'!I34),"",'Personal Information'!I34)</f>
        <v/>
      </c>
      <c r="F39" s="12" t="s">
        <v>125</v>
      </c>
      <c r="J39" s="92" t="s">
        <v>369</v>
      </c>
      <c r="K39" s="96" t="str">
        <f>IF(ISBLANK(VLOOKUP($J39,'Additional Information'!$A:$B,2,0)),"",_xlfn.IFNA(VLOOKUP($J39,'Additional Information'!$A:$B,2,0),""))</f>
        <v/>
      </c>
      <c r="L39" s="22" t="s">
        <v>541</v>
      </c>
    </row>
    <row r="40" spans="2:12" x14ac:dyDescent="0.25">
      <c r="B40" s="16" t="s">
        <v>32</v>
      </c>
      <c r="C40" s="42" t="str">
        <f>IF(ISBLANK('Personal Information'!B35),"",'Personal Information'!B35)</f>
        <v/>
      </c>
      <c r="F40" s="12" t="s">
        <v>126</v>
      </c>
      <c r="J40" s="93" t="str">
        <f>IF($K39="NO", "Mode of Transportation*","")</f>
        <v/>
      </c>
      <c r="K40" s="96" t="str">
        <f>IF(ISBLANK(VLOOKUP($J40,'Additional Information'!$A:$B,2,0)),"",_xlfn.IFNA(VLOOKUP($J40,'Additional Information'!$A:$B,2,0),""))</f>
        <v/>
      </c>
      <c r="L40" s="22" t="s">
        <v>541</v>
      </c>
    </row>
    <row r="41" spans="2:12" x14ac:dyDescent="0.25">
      <c r="B41" s="16" t="s">
        <v>33</v>
      </c>
      <c r="C41" s="42" t="str">
        <f>IF(ISBLANK('Personal Information'!B36),"",'Personal Information'!B36)</f>
        <v/>
      </c>
      <c r="F41" s="12" t="s">
        <v>127</v>
      </c>
      <c r="J41" s="92" t="str">
        <f>IF($K39="NO","Number of Vehicles*","")</f>
        <v/>
      </c>
      <c r="K41" s="95" t="str">
        <f>IF(ISBLANK(VLOOKUP($J41,'Additional Information'!$A:$B,2,0)),"",_xlfn.IFNA(VLOOKUP($J41,'Additional Information'!$A:$B,2,0),""))</f>
        <v/>
      </c>
      <c r="L41" s="22" t="s">
        <v>541</v>
      </c>
    </row>
    <row r="42" spans="2:12" x14ac:dyDescent="0.25">
      <c r="B42" s="16" t="s">
        <v>34</v>
      </c>
      <c r="C42" s="42" t="str">
        <f>IF(ISBLANK('Personal Information'!B37),"",'Personal Information'!B37)</f>
        <v/>
      </c>
      <c r="F42" s="12" t="s">
        <v>128</v>
      </c>
      <c r="J42" s="92" t="s">
        <v>190</v>
      </c>
      <c r="K42" s="96" t="str">
        <f>IF(ISBLANK(VLOOKUP($J42,'Additional Information'!$A:$B,2,0)),"",_xlfn.IFNA(VLOOKUP($J42,'Additional Information'!$A:$B,2,0),""))</f>
        <v/>
      </c>
      <c r="L42" s="22" t="s">
        <v>541</v>
      </c>
    </row>
    <row r="43" spans="2:12" x14ac:dyDescent="0.25">
      <c r="B43" s="16" t="s">
        <v>36</v>
      </c>
      <c r="C43" s="42"/>
      <c r="F43" s="12" t="s">
        <v>129</v>
      </c>
      <c r="J43" s="93" t="str">
        <f>IF(K42="YES","Valid US Visa*","")</f>
        <v/>
      </c>
      <c r="K43" s="96" t="str">
        <f>IF(ISBLANK(VLOOKUP($J43,'Additional Information'!$A:$B,2,0)),"",_xlfn.IFNA(VLOOKUP($J43,'Additional Information'!$A:$B,2,0),""))</f>
        <v/>
      </c>
      <c r="L43" s="22" t="s">
        <v>541</v>
      </c>
    </row>
    <row r="44" spans="2:12" x14ac:dyDescent="0.25">
      <c r="B44" s="27" t="s">
        <v>30</v>
      </c>
      <c r="C44" s="42" t="str">
        <f>IF(ISBLANK('Personal Information'!G38),"",'Personal Information'!G38)</f>
        <v/>
      </c>
      <c r="F44" s="31" t="s">
        <v>130</v>
      </c>
      <c r="J44" s="93" t="str">
        <f>IF(K42="YES","Former OFW*","")</f>
        <v/>
      </c>
      <c r="K44" s="96" t="str">
        <f>IF(ISBLANK(VLOOKUP($J44,'Additional Information'!$A:$B,2,0)),"",_xlfn.IFNA(VLOOKUP($J44,'Additional Information'!$A:$B,2,0),""))</f>
        <v/>
      </c>
      <c r="L44" s="22" t="s">
        <v>541</v>
      </c>
    </row>
    <row r="45" spans="2:12" x14ac:dyDescent="0.25">
      <c r="B45" s="27" t="s">
        <v>31</v>
      </c>
      <c r="C45" s="42" t="str">
        <f>IF(ISBLANK('Personal Information'!G39),"",'Personal Information'!G39)</f>
        <v/>
      </c>
      <c r="F45" s="32" t="s">
        <v>131</v>
      </c>
      <c r="J45" s="92" t="s">
        <v>191</v>
      </c>
      <c r="K45" s="95">
        <f>IF(ISBLANK(VLOOKUP($J45,'Additional Information'!$A:$B,2,0)),0,_xlfn.IFNA(VLOOKUP($J45,'Additional Information'!$A:$B,2,0),""))</f>
        <v>0</v>
      </c>
      <c r="L45" s="22" t="s">
        <v>541</v>
      </c>
    </row>
    <row r="46" spans="2:12" x14ac:dyDescent="0.25">
      <c r="B46" s="16" t="s">
        <v>32</v>
      </c>
      <c r="C46" s="42" t="str">
        <f>IF(ISBLANK('Personal Information'!B39),"",'Personal Information'!B39)</f>
        <v/>
      </c>
      <c r="F46" s="12" t="s">
        <v>132</v>
      </c>
      <c r="J46" s="92" t="s">
        <v>192</v>
      </c>
      <c r="K46" s="95">
        <f>IF(ISNUMBER(IF(ISBLANK(VLOOKUP($J46,'Additional Information'!$A:$B,2,0)),"",_xlfn.IFNA(VLOOKUP($J46,'Additional Information'!$A:$B,2,0),""))),IF(ISBLANK(VLOOKUP($J46,'Additional Information'!$A:$B,2,0)),"",_xlfn.IFNA(VLOOKUP($J46,'Additional Information'!$A:$B,2,0),"")),0)</f>
        <v>0</v>
      </c>
      <c r="L46" s="22" t="s">
        <v>541</v>
      </c>
    </row>
    <row r="47" spans="2:12" x14ac:dyDescent="0.25">
      <c r="B47" s="16" t="s">
        <v>33</v>
      </c>
      <c r="C47" s="42" t="str">
        <f>IF(ISBLANK('Personal Information'!B40),"",'Personal Information'!B40)</f>
        <v/>
      </c>
      <c r="F47" s="33" t="s">
        <v>135</v>
      </c>
      <c r="J47" s="48" t="s">
        <v>193</v>
      </c>
      <c r="K47" s="75">
        <v>45000</v>
      </c>
      <c r="L47" s="22" t="s">
        <v>195</v>
      </c>
    </row>
    <row r="48" spans="2:12" x14ac:dyDescent="0.25">
      <c r="B48" s="16" t="s">
        <v>34</v>
      </c>
      <c r="C48" s="42" t="str">
        <f>IF(ISBLANK('Personal Information'!B41),"",'Personal Information'!B41)</f>
        <v/>
      </c>
      <c r="F48" s="12" t="s">
        <v>133</v>
      </c>
      <c r="J48" s="48" t="s">
        <v>196</v>
      </c>
      <c r="K48" s="97" t="str">
        <f>IF(OR(C9=0,C9=""),"",C9 )</f>
        <v/>
      </c>
      <c r="L48" s="22" t="s">
        <v>418</v>
      </c>
    </row>
    <row r="49" spans="2:12" x14ac:dyDescent="0.25">
      <c r="B49" s="28" t="s">
        <v>37</v>
      </c>
      <c r="C49" s="42"/>
      <c r="F49" s="33" t="s">
        <v>136</v>
      </c>
      <c r="J49" s="48" t="s">
        <v>197</v>
      </c>
      <c r="K49" s="98" t="str">
        <f>IF(OR(C10=0,C10=""),"",C10 )</f>
        <v/>
      </c>
      <c r="L49" s="22" t="s">
        <v>418</v>
      </c>
    </row>
    <row r="50" spans="2:12" x14ac:dyDescent="0.25">
      <c r="B50" s="16" t="s">
        <v>38</v>
      </c>
      <c r="C50" s="42"/>
      <c r="F50" s="12" t="s">
        <v>134</v>
      </c>
      <c r="J50" s="50"/>
      <c r="K50" s="79"/>
      <c r="L50" s="34"/>
    </row>
    <row r="51" spans="2:12" x14ac:dyDescent="0.25">
      <c r="B51" s="27" t="s">
        <v>32</v>
      </c>
      <c r="C51" s="42" t="str">
        <f>IF(ISBLANK('Personal Information'!B$44),"",'Personal Information'!B$44)</f>
        <v/>
      </c>
      <c r="F51" s="33" t="s">
        <v>137</v>
      </c>
      <c r="J51" s="50"/>
      <c r="K51" s="79"/>
      <c r="L51" s="34"/>
    </row>
    <row r="52" spans="2:12" x14ac:dyDescent="0.25">
      <c r="B52" s="27" t="s">
        <v>39</v>
      </c>
      <c r="C52" s="42" t="str">
        <f>IF(ISBLANK('Personal Information'!F$44),"",'Personal Information'!F$44)</f>
        <v/>
      </c>
      <c r="F52" s="32" t="s">
        <v>138</v>
      </c>
      <c r="J52" s="50"/>
      <c r="K52" s="79"/>
      <c r="L52" s="34"/>
    </row>
    <row r="53" spans="2:12" x14ac:dyDescent="0.25">
      <c r="B53" s="27" t="s">
        <v>40</v>
      </c>
      <c r="C53" s="42" t="str">
        <f>IF(ISBLANK('Personal Information'!H$44),"",'Personal Information'!H$44)</f>
        <v/>
      </c>
      <c r="F53" s="12" t="s">
        <v>139</v>
      </c>
      <c r="J53" s="50"/>
      <c r="K53" s="79"/>
      <c r="L53" s="34"/>
    </row>
    <row r="54" spans="2:12" ht="19.5" x14ac:dyDescent="0.3">
      <c r="B54" s="16" t="s">
        <v>41</v>
      </c>
      <c r="C54" s="42"/>
      <c r="F54" s="12" t="s">
        <v>140</v>
      </c>
      <c r="J54" s="51" t="s">
        <v>198</v>
      </c>
      <c r="K54" s="80"/>
      <c r="L54" s="35"/>
    </row>
    <row r="55" spans="2:12" x14ac:dyDescent="0.25">
      <c r="B55" s="27" t="s">
        <v>32</v>
      </c>
      <c r="C55" s="42" t="str">
        <f>IF(ISBLANK('Personal Information'!B$45),"",'Personal Information'!B$45)</f>
        <v/>
      </c>
      <c r="F55" s="12" t="s">
        <v>141</v>
      </c>
      <c r="J55" s="52" t="s">
        <v>199</v>
      </c>
      <c r="K55" s="101">
        <v>21</v>
      </c>
      <c r="L55" s="35" t="s">
        <v>159</v>
      </c>
    </row>
    <row r="56" spans="2:12" x14ac:dyDescent="0.25">
      <c r="B56" s="27" t="s">
        <v>39</v>
      </c>
      <c r="C56" s="42" t="str">
        <f>IF(ISBLANK('Personal Information'!F$45),"",'Personal Information'!F$45)</f>
        <v/>
      </c>
      <c r="F56" s="12" t="s">
        <v>142</v>
      </c>
      <c r="J56" s="53" t="str">
        <f>IFERROR(VLOOKUP((1&amp;$K$4)*1,'Ref Select'!$AB:$AC,2,0),"-")</f>
        <v>How would you rate your key competencies for this job?</v>
      </c>
      <c r="K56" s="101">
        <v>10</v>
      </c>
      <c r="L56" s="35" t="s">
        <v>159</v>
      </c>
    </row>
    <row r="57" spans="2:12" x14ac:dyDescent="0.25">
      <c r="B57" s="27" t="s">
        <v>40</v>
      </c>
      <c r="C57" s="42" t="str">
        <f>IF(ISBLANK('Personal Information'!H$45),"",'Personal Information'!H$45)</f>
        <v/>
      </c>
      <c r="F57" s="12" t="s">
        <v>143</v>
      </c>
      <c r="J57" s="53" t="str">
        <f>IFERROR(VLOOKUP((2&amp;$K$4)*1,'Ref Select'!$AB:$AC,2,0),"-")</f>
        <v>How will you keep your POCs updated with your tasks when working remotely?</v>
      </c>
      <c r="K57" s="101"/>
      <c r="L57" s="35" t="s">
        <v>159</v>
      </c>
    </row>
    <row r="58" spans="2:12" x14ac:dyDescent="0.25">
      <c r="B58" s="16" t="s">
        <v>42</v>
      </c>
      <c r="C58" s="42"/>
      <c r="F58" s="12" t="s">
        <v>144</v>
      </c>
      <c r="J58" s="53" t="str">
        <f>IFERROR(VLOOKUP((3&amp;$K$4)*1,'Ref Select'!$AB:$AC,2,0),"-")</f>
        <v>Are willing to change shift in case the client requires it?</v>
      </c>
      <c r="K58" s="101" t="s">
        <v>69</v>
      </c>
      <c r="L58" s="35" t="s">
        <v>159</v>
      </c>
    </row>
    <row r="59" spans="2:12" x14ac:dyDescent="0.25">
      <c r="B59" s="27" t="s">
        <v>32</v>
      </c>
      <c r="C59" s="42" t="str">
        <f>IF(ISBLANK('Personal Information'!B$46),"",'Personal Information'!B$46)</f>
        <v/>
      </c>
      <c r="F59" s="12" t="s">
        <v>145</v>
      </c>
      <c r="J59" s="53" t="str">
        <f>IFERROR(VLOOKUP((4&amp;$K$4)*1,'Ref Select'!$AB:$AC,2,0),"-")</f>
        <v>-</v>
      </c>
      <c r="K59" s="101"/>
      <c r="L59" s="35" t="s">
        <v>159</v>
      </c>
    </row>
    <row r="60" spans="2:12" x14ac:dyDescent="0.25">
      <c r="B60" s="27" t="s">
        <v>39</v>
      </c>
      <c r="C60" s="42" t="str">
        <f>IF(ISBLANK('Personal Information'!F$46),"",'Personal Information'!F$46)</f>
        <v/>
      </c>
      <c r="F60" s="31" t="s">
        <v>155</v>
      </c>
      <c r="J60" s="52" t="s">
        <v>200</v>
      </c>
      <c r="K60" s="78" t="s">
        <v>373</v>
      </c>
      <c r="L60" s="22" t="s">
        <v>371</v>
      </c>
    </row>
    <row r="61" spans="2:12" x14ac:dyDescent="0.25">
      <c r="B61" s="27" t="s">
        <v>40</v>
      </c>
      <c r="C61" s="42" t="str">
        <f>IF(ISBLANK('Personal Information'!H$46),"",'Personal Information'!H$46)</f>
        <v/>
      </c>
      <c r="F61" s="12" t="s">
        <v>146</v>
      </c>
      <c r="J61" s="53" t="str">
        <f>IF(K60="HIRE","Interview Scheduled","")</f>
        <v>Interview Scheduled</v>
      </c>
      <c r="K61" s="81">
        <v>44498</v>
      </c>
      <c r="L61" s="22" t="s">
        <v>513</v>
      </c>
    </row>
    <row r="62" spans="2:12" x14ac:dyDescent="0.25">
      <c r="B62" s="16" t="s">
        <v>204</v>
      </c>
      <c r="C62" s="42"/>
      <c r="F62" s="12" t="s">
        <v>147</v>
      </c>
      <c r="J62" s="53" t="str">
        <f>IF(OR($K$60="HOLD",$K$60="Reject and Pool"),$K$60&amp;"  | Explain Reason:*","")</f>
        <v/>
      </c>
      <c r="K62" s="78"/>
      <c r="L62" s="22" t="str">
        <f>IF(K60="Hire","","Manual- Required to Select ")</f>
        <v/>
      </c>
    </row>
    <row r="63" spans="2:12" x14ac:dyDescent="0.25">
      <c r="B63" s="27" t="s">
        <v>32</v>
      </c>
      <c r="C63" s="42" t="str">
        <f>IF(ISBLANK('Personal Information'!B$47),"",'Personal Information'!B$47)</f>
        <v/>
      </c>
      <c r="F63" s="12" t="s">
        <v>148</v>
      </c>
      <c r="J63" s="52" t="s">
        <v>201</v>
      </c>
      <c r="K63" s="102" t="s">
        <v>572</v>
      </c>
      <c r="L63" s="35" t="s">
        <v>194</v>
      </c>
    </row>
    <row r="64" spans="2:12" x14ac:dyDescent="0.25">
      <c r="B64" s="27" t="s">
        <v>39</v>
      </c>
      <c r="C64" s="42" t="str">
        <f>IF(ISBLANK('Personal Information'!F$47),"",'Personal Information'!F$47)</f>
        <v/>
      </c>
      <c r="F64" s="12" t="s">
        <v>149</v>
      </c>
      <c r="J64" s="50"/>
      <c r="K64" s="82"/>
      <c r="L64" s="34"/>
    </row>
    <row r="65" spans="2:12" ht="19.5" x14ac:dyDescent="0.3">
      <c r="B65" s="27"/>
      <c r="C65" s="42"/>
      <c r="J65" s="54" t="str">
        <f>IF($K$60="HIRE","Final Interview and Selection Status","")</f>
        <v>Final Interview and Selection Status</v>
      </c>
      <c r="K65" s="83"/>
      <c r="L65" s="36"/>
    </row>
    <row r="66" spans="2:12" x14ac:dyDescent="0.25">
      <c r="B66" s="27"/>
      <c r="C66" s="42"/>
      <c r="J66" s="55" t="str">
        <f>IF($K$60="HIRE","On Time for Appointment?","")</f>
        <v>On Time for Appointment?</v>
      </c>
      <c r="K66" s="84"/>
      <c r="L66" s="37" t="s">
        <v>371</v>
      </c>
    </row>
    <row r="67" spans="2:12" x14ac:dyDescent="0.25">
      <c r="B67" s="27"/>
      <c r="C67" s="42"/>
      <c r="J67" s="56" t="str">
        <f>IF($K$60="HIRE","Professional Appearance?","")</f>
        <v>Professional Appearance?</v>
      </c>
      <c r="K67" s="84"/>
      <c r="L67" s="37" t="s">
        <v>371</v>
      </c>
    </row>
    <row r="68" spans="2:12" x14ac:dyDescent="0.25">
      <c r="B68" s="27" t="s">
        <v>40</v>
      </c>
      <c r="C68" s="42" t="str">
        <f>IF(ISBLANK('Personal Information'!H$47),"",'Personal Information'!H$47)</f>
        <v/>
      </c>
      <c r="F68" s="12" t="s">
        <v>150</v>
      </c>
      <c r="J68" s="55" t="str">
        <f>IF($K$60="HIRE","Attitute Towards Position?","")</f>
        <v>Attitute Towards Position?</v>
      </c>
      <c r="K68" s="84"/>
      <c r="L68" s="37" t="s">
        <v>371</v>
      </c>
    </row>
    <row r="69" spans="2:12" x14ac:dyDescent="0.25">
      <c r="B69" s="16" t="s">
        <v>205</v>
      </c>
      <c r="C69" s="42"/>
      <c r="F69" s="12" t="s">
        <v>151</v>
      </c>
      <c r="J69" s="55" t="str">
        <f>IF($K$60="HIRE","Intends to Stay Long-Term?","")</f>
        <v>Intends to Stay Long-Term?</v>
      </c>
      <c r="K69" s="84"/>
      <c r="L69" s="37" t="s">
        <v>371</v>
      </c>
    </row>
    <row r="70" spans="2:12" ht="19.5" x14ac:dyDescent="0.3">
      <c r="B70" s="27" t="s">
        <v>32</v>
      </c>
      <c r="C70" s="42" t="str">
        <f>IF(ISBLANK('Personal Information'!B$48),"",'Personal Information'!B$48)</f>
        <v/>
      </c>
      <c r="F70" s="12" t="s">
        <v>152</v>
      </c>
      <c r="J70" s="54" t="str">
        <f>IF($K$60="HIRE",IF(K27&gt;2,"Stability Question",""),"")</f>
        <v>Stability Question</v>
      </c>
      <c r="K70" s="83"/>
      <c r="L70" s="36"/>
    </row>
    <row r="71" spans="2:12" x14ac:dyDescent="0.25">
      <c r="B71" s="27" t="s">
        <v>39</v>
      </c>
      <c r="C71" s="42" t="str">
        <f>IF(ISBLANK('Personal Information'!F$48),"",'Personal Information'!F$48)</f>
        <v/>
      </c>
      <c r="F71" s="12" t="s">
        <v>153</v>
      </c>
      <c r="J71" s="72" t="str">
        <f>IF($K$60="HIRE",IF(K27&gt;2,"Stability Response*",""),"")</f>
        <v>Stability Response*</v>
      </c>
      <c r="K71" s="84"/>
      <c r="L71" s="37" t="s">
        <v>195</v>
      </c>
    </row>
    <row r="72" spans="2:12" x14ac:dyDescent="0.25">
      <c r="B72" s="27" t="s">
        <v>40</v>
      </c>
      <c r="C72" s="42" t="str">
        <f>IF(ISBLANK('Personal Information'!H$48),"",'Personal Information'!H$48)</f>
        <v/>
      </c>
      <c r="F72" s="12" t="s">
        <v>154</v>
      </c>
      <c r="J72" s="72" t="str">
        <f>IF($K$60="HIRE",IF(K27&gt;2,"Why have you changed jobs so often?",""),"")</f>
        <v>Why have you changed jobs so often?</v>
      </c>
      <c r="K72" s="84"/>
      <c r="L72" s="37" t="s">
        <v>195</v>
      </c>
    </row>
    <row r="73" spans="2:12" x14ac:dyDescent="0.25">
      <c r="B73" s="16" t="s">
        <v>206</v>
      </c>
      <c r="C73" s="42"/>
      <c r="J73" s="55" t="str">
        <f>IF($K$60="HIRE","Is there any risk of your returning your previous employer?","")</f>
        <v>Is there any risk of your returning your previous employer?</v>
      </c>
      <c r="K73" s="84"/>
      <c r="L73" s="37" t="s">
        <v>195</v>
      </c>
    </row>
    <row r="74" spans="2:12" x14ac:dyDescent="0.25">
      <c r="B74" s="27" t="s">
        <v>32</v>
      </c>
      <c r="C74" s="42" t="str">
        <f>IF(ISBLANK('Personal Information'!B$49),"",'Personal Information'!B$49)</f>
        <v/>
      </c>
      <c r="J74" s="72" t="str">
        <f>IF($K$60="HIRE",IF(_xlfn.IFNA(VLOOKUP(K28,'Ref Select'!$X$2:$Y$22,2,0),0)=1,"","Return Response"),"")</f>
        <v>Return Response</v>
      </c>
      <c r="K74" s="84"/>
      <c r="L74" s="37" t="s">
        <v>195</v>
      </c>
    </row>
    <row r="75" spans="2:12" ht="19.5" x14ac:dyDescent="0.3">
      <c r="B75" s="27" t="s">
        <v>39</v>
      </c>
      <c r="C75" s="42" t="str">
        <f>IF(ISBLANK('Personal Information'!F$49),"",'Personal Information'!F$49)</f>
        <v/>
      </c>
      <c r="J75" s="54" t="str">
        <f>IF($K$60="HIRE",IF(K44="YES","OFW Risk Question",""),"")</f>
        <v/>
      </c>
      <c r="K75" s="83"/>
      <c r="L75" s="36"/>
    </row>
    <row r="76" spans="2:12" x14ac:dyDescent="0.25">
      <c r="B76" s="27" t="s">
        <v>40</v>
      </c>
      <c r="C76" s="42" t="str">
        <f>IF(ISBLANK('Personal Information'!H$49),"",'Personal Information'!H$49)</f>
        <v/>
      </c>
      <c r="J76" s="55" t="str">
        <f>IF($K$60="HIRE",IF(K44="YES","Do you intend to do another relocation to a foreign country?",""),"")</f>
        <v/>
      </c>
      <c r="K76" s="84"/>
      <c r="L76" s="37" t="s">
        <v>195</v>
      </c>
    </row>
    <row r="77" spans="2:12" ht="19.5" x14ac:dyDescent="0.3">
      <c r="B77" s="16" t="s">
        <v>207</v>
      </c>
      <c r="C77" s="42"/>
      <c r="J77" s="54" t="str">
        <f>IF($K$60="HIRE","Salary Variance Response*","")</f>
        <v>Salary Variance Response*</v>
      </c>
      <c r="K77" s="83"/>
      <c r="L77" s="36"/>
    </row>
    <row r="78" spans="2:12" x14ac:dyDescent="0.25">
      <c r="B78" s="27" t="s">
        <v>32</v>
      </c>
      <c r="C78" s="42" t="str">
        <f>IF(ISBLANK('Personal Information'!B$50),"",'Personal Information'!B$50)</f>
        <v/>
      </c>
      <c r="J78" s="55" t="str">
        <f>IF($K$60="HIRE","Are you concerned that our offer is less than your current compensation?","")</f>
        <v>Are you concerned that our offer is less than your current compensation?</v>
      </c>
      <c r="K78" s="84"/>
      <c r="L78" s="37" t="s">
        <v>195</v>
      </c>
    </row>
    <row r="79" spans="2:12" x14ac:dyDescent="0.25">
      <c r="B79" s="27" t="s">
        <v>39</v>
      </c>
      <c r="C79" s="42" t="str">
        <f>IF(ISBLANK('Personal Information'!F$50),"",'Personal Information'!F$50)</f>
        <v/>
      </c>
      <c r="J79" s="55" t="str">
        <f>IF($K$60="HIRE","Essay Quality","")</f>
        <v>Essay Quality</v>
      </c>
      <c r="K79" s="84"/>
      <c r="L79" s="37" t="s">
        <v>371</v>
      </c>
    </row>
    <row r="80" spans="2:12" x14ac:dyDescent="0.25">
      <c r="B80" s="27" t="s">
        <v>40</v>
      </c>
      <c r="C80" s="42" t="str">
        <f>IF(ISBLANK('Personal Information'!H$50),"",'Personal Information'!H$50)</f>
        <v/>
      </c>
      <c r="J80" s="55" t="str">
        <f>IF($K$60="HIRE","Vebal Communication","")</f>
        <v>Vebal Communication</v>
      </c>
      <c r="K80" s="84"/>
      <c r="L80" s="37" t="s">
        <v>371</v>
      </c>
    </row>
    <row r="81" spans="2:12" x14ac:dyDescent="0.25">
      <c r="B81" s="16" t="s">
        <v>43</v>
      </c>
      <c r="C81" s="42"/>
      <c r="J81" s="55" t="str">
        <f>IF($K$60="HIRE","Ops Interview Schedule","")</f>
        <v>Ops Interview Schedule</v>
      </c>
      <c r="K81" s="84"/>
      <c r="L81" s="37" t="s">
        <v>513</v>
      </c>
    </row>
    <row r="82" spans="2:12" x14ac:dyDescent="0.25">
      <c r="B82" s="27" t="s">
        <v>32</v>
      </c>
      <c r="C82" s="42" t="str">
        <f>IF(ISBLANK('Personal Information'!B$51),"",'Personal Information'!B$51)</f>
        <v/>
      </c>
      <c r="J82" s="55" t="str">
        <f>IF($K$60="HIRE","Ops Interview Disposition","")</f>
        <v>Ops Interview Disposition</v>
      </c>
      <c r="K82" s="84"/>
      <c r="L82" s="37" t="s">
        <v>371</v>
      </c>
    </row>
    <row r="83" spans="2:12" x14ac:dyDescent="0.25">
      <c r="B83" s="27" t="s">
        <v>39</v>
      </c>
      <c r="C83" s="42" t="str">
        <f>IF(ISBLANK('Personal Information'!F$51),"",'Personal Information'!F$51)</f>
        <v/>
      </c>
      <c r="J83" s="55" t="str">
        <f>IF($K$60="HIRE","Ops Remarks","")</f>
        <v>Ops Remarks</v>
      </c>
      <c r="K83" s="84"/>
      <c r="L83" s="37" t="s">
        <v>195</v>
      </c>
    </row>
    <row r="84" spans="2:12" x14ac:dyDescent="0.25">
      <c r="B84" s="27" t="s">
        <v>40</v>
      </c>
      <c r="C84" s="42" t="str">
        <f>IF(ISBLANK('Personal Information'!H$51),"",'Personal Information'!H$51)</f>
        <v/>
      </c>
    </row>
    <row r="85" spans="2:12" x14ac:dyDescent="0.25">
      <c r="B85" s="16" t="s">
        <v>44</v>
      </c>
      <c r="C85" s="42"/>
    </row>
    <row r="86" spans="2:12" x14ac:dyDescent="0.25">
      <c r="B86" s="27" t="s">
        <v>32</v>
      </c>
      <c r="C86" s="42" t="str">
        <f>IF(ISBLANK('Personal Information'!B$52),"",'Personal Information'!B$52)</f>
        <v/>
      </c>
    </row>
    <row r="87" spans="2:12" x14ac:dyDescent="0.25">
      <c r="B87" s="27" t="s">
        <v>39</v>
      </c>
      <c r="C87" s="42" t="str">
        <f>IF(ISBLANK('Personal Information'!F$52),"",'Personal Information'!F$52)</f>
        <v/>
      </c>
    </row>
    <row r="88" spans="2:12" x14ac:dyDescent="0.25">
      <c r="B88" s="27" t="s">
        <v>40</v>
      </c>
      <c r="C88" s="42" t="str">
        <f>IF(ISBLANK('Personal Information'!H$52),"",'Personal Information'!H$52)</f>
        <v/>
      </c>
    </row>
    <row r="89" spans="2:12" x14ac:dyDescent="0.25">
      <c r="B89" s="16"/>
      <c r="C89" s="42"/>
    </row>
    <row r="90" spans="2:12" x14ac:dyDescent="0.25">
      <c r="B90" s="28" t="s">
        <v>45</v>
      </c>
      <c r="C90" s="42"/>
    </row>
    <row r="91" spans="2:12" x14ac:dyDescent="0.25">
      <c r="B91" s="16" t="s">
        <v>46</v>
      </c>
      <c r="C91" s="42" t="str">
        <f>IF(ISBLANK('Employment History'!$B2),"",'Employment History'!$B2)</f>
        <v/>
      </c>
    </row>
    <row r="92" spans="2:12" x14ac:dyDescent="0.25">
      <c r="B92" s="16" t="s">
        <v>47</v>
      </c>
      <c r="C92" s="42" t="str">
        <f>IF(ISBLANK('Employment History'!$G2),"",'Employment History'!$G2)</f>
        <v/>
      </c>
    </row>
    <row r="93" spans="2:12" x14ac:dyDescent="0.25">
      <c r="B93" s="16" t="s">
        <v>33</v>
      </c>
      <c r="C93" s="42" t="str">
        <f>IF(ISBLANK('Employment History'!$B3),"",'Employment History'!$B3)</f>
        <v/>
      </c>
    </row>
    <row r="94" spans="2:12" x14ac:dyDescent="0.25">
      <c r="B94" s="16" t="s">
        <v>48</v>
      </c>
      <c r="C94" s="42" t="str">
        <f>IF(ISBLANK('Employment History'!$B4),"",'Employment History'!$B4)</f>
        <v/>
      </c>
    </row>
    <row r="95" spans="2:12" x14ac:dyDescent="0.25">
      <c r="B95" s="27" t="s">
        <v>49</v>
      </c>
      <c r="C95" s="42" t="str">
        <f>IF(ISBLANK('Employment History'!$E9),"",'Employment History'!$E9)</f>
        <v/>
      </c>
    </row>
    <row r="96" spans="2:12" x14ac:dyDescent="0.25">
      <c r="B96" s="27" t="s">
        <v>50</v>
      </c>
      <c r="C96" s="42" t="str">
        <f>IF(ISBLANK('Employment History'!$H4),"",'Employment History'!$H4)</f>
        <v/>
      </c>
    </row>
    <row r="97" spans="2:3" x14ac:dyDescent="0.25">
      <c r="B97" s="16" t="s">
        <v>51</v>
      </c>
      <c r="C97" s="42" t="str">
        <f>IF(ISBLANK('Employment History'!$C5),"",'Employment History'!$C5)</f>
        <v/>
      </c>
    </row>
    <row r="98" spans="2:3" x14ac:dyDescent="0.25">
      <c r="B98" s="16" t="s">
        <v>46</v>
      </c>
      <c r="C98" s="42" t="str">
        <f>IF(ISBLANK('Employment History'!$B7),"",'Employment History'!$B7)</f>
        <v>Taskus Inc</v>
      </c>
    </row>
    <row r="99" spans="2:3" x14ac:dyDescent="0.25">
      <c r="B99" s="16" t="s">
        <v>47</v>
      </c>
      <c r="C99" s="42" t="str">
        <f>IF(ISBLANK('Employment History'!$G7),"",'Employment History'!$G7)</f>
        <v/>
      </c>
    </row>
    <row r="100" spans="2:3" x14ac:dyDescent="0.25">
      <c r="B100" s="16" t="s">
        <v>33</v>
      </c>
      <c r="C100" s="42" t="str">
        <f>IF(ISBLANK('Employment History'!$B8),"",'Employment History'!$B8)</f>
        <v/>
      </c>
    </row>
    <row r="101" spans="2:3" x14ac:dyDescent="0.25">
      <c r="B101" s="16" t="s">
        <v>48</v>
      </c>
      <c r="C101" s="42" t="str">
        <f>IF(ISBLANK('Employment History'!$B9),"",'Employment History'!$B9)</f>
        <v/>
      </c>
    </row>
    <row r="102" spans="2:3" x14ac:dyDescent="0.25">
      <c r="B102" s="27" t="s">
        <v>49</v>
      </c>
      <c r="C102" s="42" t="str">
        <f>IF(ISBLANK('Employment History'!$E9),"",'Employment History'!$E9)</f>
        <v/>
      </c>
    </row>
    <row r="103" spans="2:3" x14ac:dyDescent="0.25">
      <c r="B103" s="27" t="s">
        <v>50</v>
      </c>
      <c r="C103" s="42" t="str">
        <f>IF(ISBLANK('Employment History'!$H9),"",'Employment History'!$H9)</f>
        <v/>
      </c>
    </row>
    <row r="104" spans="2:3" x14ac:dyDescent="0.25">
      <c r="B104" s="16" t="s">
        <v>51</v>
      </c>
      <c r="C104" s="42" t="str">
        <f>IF(ISBLANK('Employment History'!$C10),"",'Employment History'!$C10)</f>
        <v/>
      </c>
    </row>
    <row r="105" spans="2:3" x14ac:dyDescent="0.25">
      <c r="B105" s="16" t="s">
        <v>46</v>
      </c>
      <c r="C105" s="42" t="str">
        <f>IF(ISBLANK('Employment History'!$B12),"",'Employment History'!$B12)</f>
        <v/>
      </c>
    </row>
    <row r="106" spans="2:3" x14ac:dyDescent="0.25">
      <c r="B106" s="16" t="s">
        <v>47</v>
      </c>
      <c r="C106" s="42" t="str">
        <f>IF(ISBLANK('Employment History'!$G13),"",'Employment History'!$G13)</f>
        <v/>
      </c>
    </row>
    <row r="107" spans="2:3" x14ac:dyDescent="0.25">
      <c r="B107" s="16" t="s">
        <v>33</v>
      </c>
      <c r="C107" s="42" t="str">
        <f>IF(ISBLANK('Employment History'!$B14),"",'Employment History'!$B14)</f>
        <v/>
      </c>
    </row>
    <row r="108" spans="2:3" x14ac:dyDescent="0.25">
      <c r="B108" s="16" t="s">
        <v>48</v>
      </c>
      <c r="C108" s="42" t="str">
        <f>IF(ISBLANK('Employment History'!$B14),"",'Employment History'!$B14)</f>
        <v/>
      </c>
    </row>
    <row r="109" spans="2:3" x14ac:dyDescent="0.25">
      <c r="B109" s="27" t="s">
        <v>49</v>
      </c>
      <c r="C109" s="42" t="str">
        <f>IF(ISBLANK('Employment History'!$E14),"",'Employment History'!$E14)</f>
        <v/>
      </c>
    </row>
    <row r="110" spans="2:3" x14ac:dyDescent="0.25">
      <c r="B110" s="27" t="s">
        <v>50</v>
      </c>
      <c r="C110" s="42" t="str">
        <f>IF(ISBLANK('Employment History'!$H14),"",'Employment History'!$H14)</f>
        <v/>
      </c>
    </row>
    <row r="111" spans="2:3" x14ac:dyDescent="0.25">
      <c r="B111" s="16" t="s">
        <v>51</v>
      </c>
      <c r="C111" s="42" t="str">
        <f>IF(ISBLANK('Employment History'!$C15),"",'Employment History'!$C15)</f>
        <v/>
      </c>
    </row>
    <row r="112" spans="2:3" x14ac:dyDescent="0.25">
      <c r="B112" s="28" t="s">
        <v>52</v>
      </c>
      <c r="C112" s="42"/>
    </row>
    <row r="113" spans="2:3" x14ac:dyDescent="0.25">
      <c r="B113" s="16" t="s">
        <v>53</v>
      </c>
      <c r="C113" s="42" t="str">
        <f>IF(ISBLANK('Employment History'!$A$18),"",'Employment History'!$A$18)</f>
        <v/>
      </c>
    </row>
    <row r="114" spans="2:3" x14ac:dyDescent="0.25">
      <c r="B114" s="27" t="s">
        <v>54</v>
      </c>
      <c r="C114" s="42" t="str">
        <f>IF(ISBLANK('Employment History'!$C$18),"",'Employment History'!$C$18)</f>
        <v/>
      </c>
    </row>
    <row r="115" spans="2:3" x14ac:dyDescent="0.25">
      <c r="B115" s="27" t="s">
        <v>49</v>
      </c>
      <c r="C115" s="42" t="str">
        <f>IF(ISBLANK('Employment History'!$E$18),"",'Employment History'!$E$18)</f>
        <v/>
      </c>
    </row>
    <row r="116" spans="2:3" x14ac:dyDescent="0.25">
      <c r="B116" s="27" t="s">
        <v>55</v>
      </c>
      <c r="C116" s="42" t="str">
        <f>IF(ISBLANK('Employment History'!$G$18),"",'Employment History'!$G$18)</f>
        <v/>
      </c>
    </row>
    <row r="117" spans="2:3" x14ac:dyDescent="0.25">
      <c r="B117" s="16" t="s">
        <v>53</v>
      </c>
      <c r="C117" s="42" t="str">
        <f>IF(ISBLANK('Employment History'!$A$19),"",'Employment History'!$A$19)</f>
        <v/>
      </c>
    </row>
    <row r="118" spans="2:3" x14ac:dyDescent="0.25">
      <c r="B118" s="27" t="s">
        <v>54</v>
      </c>
      <c r="C118" s="42" t="str">
        <f>IF(ISBLANK('Employment History'!$C$19),"",'Employment History'!$C$19)</f>
        <v/>
      </c>
    </row>
    <row r="119" spans="2:3" x14ac:dyDescent="0.25">
      <c r="B119" s="27" t="s">
        <v>49</v>
      </c>
      <c r="C119" s="42" t="str">
        <f>IF(ISBLANK('Employment History'!$E$19),"",'Employment History'!$E$19)</f>
        <v/>
      </c>
    </row>
    <row r="120" spans="2:3" x14ac:dyDescent="0.25">
      <c r="B120" s="27" t="s">
        <v>55</v>
      </c>
      <c r="C120" s="42" t="str">
        <f>IF(ISBLANK('Employment History'!$G$19),"",'Employment History'!$G$19)</f>
        <v/>
      </c>
    </row>
    <row r="121" spans="2:3" x14ac:dyDescent="0.25">
      <c r="B121" s="16" t="s">
        <v>53</v>
      </c>
      <c r="C121" s="42" t="str">
        <f>IF(ISBLANK('Employment History'!$A$20),"",'Employment History'!$A$20)</f>
        <v/>
      </c>
    </row>
    <row r="122" spans="2:3" x14ac:dyDescent="0.25">
      <c r="B122" s="27" t="s">
        <v>54</v>
      </c>
      <c r="C122" s="42" t="str">
        <f>IF(ISBLANK('Employment History'!$C$20),"",'Employment History'!$C$20)</f>
        <v/>
      </c>
    </row>
    <row r="123" spans="2:3" x14ac:dyDescent="0.25">
      <c r="B123" s="27" t="s">
        <v>49</v>
      </c>
      <c r="C123" s="42" t="str">
        <f>IF(ISBLANK('Employment History'!$E$20),"",'Employment History'!$E$20)</f>
        <v/>
      </c>
    </row>
    <row r="124" spans="2:3" x14ac:dyDescent="0.25">
      <c r="B124" s="27" t="s">
        <v>55</v>
      </c>
      <c r="C124" s="42" t="str">
        <f>IF(ISBLANK('Employment History'!$G$20),"",'Employment History'!$G$20)</f>
        <v/>
      </c>
    </row>
    <row r="125" spans="2:3" x14ac:dyDescent="0.25">
      <c r="B125" s="16" t="s">
        <v>53</v>
      </c>
      <c r="C125" s="42" t="str">
        <f>IF(ISBLANK('Employment History'!$A$18),"",'Employment History'!$A$18)</f>
        <v/>
      </c>
    </row>
    <row r="126" spans="2:3" x14ac:dyDescent="0.25">
      <c r="B126" s="27" t="s">
        <v>54</v>
      </c>
      <c r="C126" s="42" t="str">
        <f>IF(ISBLANK('Employment History'!$C$21),"",'Employment History'!$C$21)</f>
        <v/>
      </c>
    </row>
    <row r="127" spans="2:3" x14ac:dyDescent="0.25">
      <c r="B127" s="27" t="s">
        <v>49</v>
      </c>
      <c r="C127" s="42" t="str">
        <f>IF(ISBLANK('Employment History'!$E$21),"",'Employment History'!$E$21)</f>
        <v/>
      </c>
    </row>
    <row r="128" spans="2:3" x14ac:dyDescent="0.25">
      <c r="B128" s="27" t="s">
        <v>55</v>
      </c>
      <c r="C128" s="42" t="str">
        <f>IF(ISBLANK('Employment History'!$G$21),"",'Employment History'!$G$21)</f>
        <v/>
      </c>
    </row>
    <row r="129" spans="2:3" x14ac:dyDescent="0.25">
      <c r="B129" s="28" t="s">
        <v>56</v>
      </c>
      <c r="C129" s="42"/>
    </row>
    <row r="130" spans="2:3" x14ac:dyDescent="0.25">
      <c r="B130" s="16" t="s">
        <v>57</v>
      </c>
      <c r="C130" s="42" t="str">
        <f>IF('Employment History'!C23="","",'Employment History'!C23)</f>
        <v/>
      </c>
    </row>
    <row r="131" spans="2:3" x14ac:dyDescent="0.25">
      <c r="B131" s="16" t="s">
        <v>58</v>
      </c>
      <c r="C131" s="42" t="str">
        <f>IF('Employment History'!G23="","",'Employment History'!G23)</f>
        <v/>
      </c>
    </row>
    <row r="132" spans="2:3" x14ac:dyDescent="0.25">
      <c r="B132" s="16" t="s">
        <v>59</v>
      </c>
      <c r="C132" s="42" t="str">
        <f>IF('Employment History'!C24="","",'Employment History'!C24)</f>
        <v/>
      </c>
    </row>
    <row r="133" spans="2:3" x14ac:dyDescent="0.25">
      <c r="B133" s="16" t="s">
        <v>60</v>
      </c>
      <c r="C133" s="42" t="str">
        <f>IF('Employment History'!E25&amp;";"&amp;'Employment History'!F25="","",'Employment History'!E25&amp;";"&amp;'Employment History'!F25)</f>
        <v>;</v>
      </c>
    </row>
    <row r="134" spans="2:3" x14ac:dyDescent="0.25">
      <c r="B134" s="16" t="s">
        <v>66</v>
      </c>
      <c r="C134" s="42" t="str">
        <f>IF('Employment History'!E27="","",'Employment History'!E27)</f>
        <v/>
      </c>
    </row>
    <row r="135" spans="2:3" x14ac:dyDescent="0.25">
      <c r="B135" s="16" t="s">
        <v>61</v>
      </c>
      <c r="C135" s="42" t="str">
        <f>IF('Employment History'!C25="","",'Employment History'!C25)</f>
        <v/>
      </c>
    </row>
    <row r="136" spans="2:3" x14ac:dyDescent="0.25">
      <c r="B136" s="38" t="s">
        <v>62</v>
      </c>
      <c r="C136" s="42"/>
    </row>
    <row r="137" spans="2:3" x14ac:dyDescent="0.25">
      <c r="B137" s="16" t="s">
        <v>63</v>
      </c>
      <c r="C137" s="42"/>
    </row>
    <row r="138" spans="2:3" x14ac:dyDescent="0.25">
      <c r="B138" s="27" t="s">
        <v>64</v>
      </c>
      <c r="C138" s="42" t="str">
        <f>IF('Employment History'!C27="","",'Employment History'!C27)</f>
        <v/>
      </c>
    </row>
    <row r="139" spans="2:3" x14ac:dyDescent="0.25">
      <c r="B139" s="27" t="s">
        <v>65</v>
      </c>
      <c r="C139" s="42" t="str">
        <f>IF('Employment History'!D27="","",'Employment History'!D27)</f>
        <v/>
      </c>
    </row>
    <row r="140" spans="2:3" x14ac:dyDescent="0.25">
      <c r="B140" s="16" t="s">
        <v>67</v>
      </c>
      <c r="C140" s="42"/>
    </row>
    <row r="141" spans="2:3" x14ac:dyDescent="0.25">
      <c r="B141" s="27" t="s">
        <v>64</v>
      </c>
      <c r="C141" s="42" t="str">
        <f>IF('Employment History'!$C$28="","",'Employment History'!$C$28)</f>
        <v/>
      </c>
    </row>
    <row r="142" spans="2:3" x14ac:dyDescent="0.25">
      <c r="B142" s="27" t="s">
        <v>65</v>
      </c>
      <c r="C142" s="42" t="str">
        <f>IF('Employment History'!$D$28="","",'Employment History'!$D$28)</f>
        <v/>
      </c>
    </row>
    <row r="143" spans="2:3" x14ac:dyDescent="0.25">
      <c r="B143" s="16" t="s">
        <v>208</v>
      </c>
      <c r="C143" s="42"/>
    </row>
    <row r="144" spans="2:3" x14ac:dyDescent="0.25">
      <c r="B144" s="27" t="s">
        <v>64</v>
      </c>
      <c r="C144" s="42" t="str">
        <f>IF('Employment History'!$C$29="","",'Employment History'!$C$29)</f>
        <v/>
      </c>
    </row>
    <row r="145" spans="2:3" x14ac:dyDescent="0.25">
      <c r="B145" s="27" t="s">
        <v>65</v>
      </c>
      <c r="C145" s="42" t="str">
        <f>IF('Employment History'!$D$29="","",'Employment History'!$D$29)</f>
        <v/>
      </c>
    </row>
    <row r="146" spans="2:3" x14ac:dyDescent="0.25">
      <c r="B146" s="16" t="s">
        <v>209</v>
      </c>
      <c r="C146" s="42"/>
    </row>
    <row r="147" spans="2:3" x14ac:dyDescent="0.25">
      <c r="B147" s="27" t="s">
        <v>64</v>
      </c>
      <c r="C147" s="42" t="str">
        <f>IF('Employment History'!$C$30="","",'Employment History'!$C$30)</f>
        <v/>
      </c>
    </row>
    <row r="148" spans="2:3" x14ac:dyDescent="0.25">
      <c r="B148" s="27" t="s">
        <v>65</v>
      </c>
      <c r="C148" s="42" t="str">
        <f>IF('Employment History'!$D$30="","",'Employment History'!$D$30)</f>
        <v/>
      </c>
    </row>
    <row r="149" spans="2:3" x14ac:dyDescent="0.25">
      <c r="B149" s="16" t="s">
        <v>68</v>
      </c>
      <c r="C149" s="42" t="str">
        <f>IF('Employment History'!H28="","",'Employment History'!H28)</f>
        <v/>
      </c>
    </row>
    <row r="150" spans="2:3" x14ac:dyDescent="0.25">
      <c r="B150" s="27" t="s">
        <v>170</v>
      </c>
      <c r="C150" s="42" t="str">
        <f>IF('Employment History'!E30="","",'Employment History'!E30)</f>
        <v/>
      </c>
    </row>
    <row r="151" spans="2:3" x14ac:dyDescent="0.25">
      <c r="B151" s="28" t="s">
        <v>70</v>
      </c>
      <c r="C151" s="42"/>
    </row>
    <row r="152" spans="2:3" x14ac:dyDescent="0.25">
      <c r="B152" s="16" t="s">
        <v>71</v>
      </c>
      <c r="C152" s="42" t="str">
        <f>IF('Employment History'!H33="","",'Employment History'!H33)</f>
        <v>No</v>
      </c>
    </row>
    <row r="153" spans="2:3" x14ac:dyDescent="0.25">
      <c r="B153" s="16" t="s">
        <v>72</v>
      </c>
      <c r="C153" s="42" t="str">
        <f>IF('Employment History'!C34="","",'Employment History'!C34)</f>
        <v/>
      </c>
    </row>
    <row r="154" spans="2:3" x14ac:dyDescent="0.25">
      <c r="B154" s="16" t="s">
        <v>73</v>
      </c>
      <c r="C154" s="42" t="str">
        <f>IF('Employment History'!H35="","",'Employment History'!H35)</f>
        <v>No</v>
      </c>
    </row>
    <row r="155" spans="2:3" x14ac:dyDescent="0.25">
      <c r="B155" s="16" t="s">
        <v>74</v>
      </c>
      <c r="C155" s="42" t="str">
        <f>IF('Employment History'!C36="","",'Employment History'!C36)</f>
        <v/>
      </c>
    </row>
    <row r="156" spans="2:3" x14ac:dyDescent="0.25">
      <c r="B156" s="28" t="s">
        <v>75</v>
      </c>
      <c r="C156" s="42"/>
    </row>
    <row r="157" spans="2:3" x14ac:dyDescent="0.25">
      <c r="B157" s="16" t="s">
        <v>32</v>
      </c>
      <c r="C157" s="42" t="str">
        <f>IF(ISBLANK('Employment History'!$A$39),"",'Employment History'!$A$39)</f>
        <v/>
      </c>
    </row>
    <row r="158" spans="2:3" x14ac:dyDescent="0.25">
      <c r="B158" s="16" t="s">
        <v>76</v>
      </c>
      <c r="C158" s="42" t="str">
        <f>IF(ISBLANK('Employment History'!$C$39),"",'Employment History'!$C$39)</f>
        <v/>
      </c>
    </row>
    <row r="159" spans="2:3" x14ac:dyDescent="0.25">
      <c r="B159" s="16" t="s">
        <v>8</v>
      </c>
      <c r="C159" s="42" t="str">
        <f>IF(ISBLANK('Employment History'!$F$39),"",'Employment History'!$F$39)</f>
        <v/>
      </c>
    </row>
    <row r="160" spans="2:3" x14ac:dyDescent="0.25">
      <c r="B160" s="16" t="s">
        <v>32</v>
      </c>
      <c r="C160" s="42" t="str">
        <f>IF(ISBLANK('Employment History'!$A$40),"",'Employment History'!$A$40)</f>
        <v/>
      </c>
    </row>
    <row r="161" spans="2:3" x14ac:dyDescent="0.25">
      <c r="B161" s="16" t="s">
        <v>76</v>
      </c>
      <c r="C161" s="42" t="str">
        <f>IF(ISBLANK('Employment History'!$C$40),"",'Employment History'!$C$40)</f>
        <v/>
      </c>
    </row>
    <row r="162" spans="2:3" x14ac:dyDescent="0.25">
      <c r="B162" s="16" t="s">
        <v>8</v>
      </c>
      <c r="C162" s="42" t="str">
        <f>IF(ISBLANK('Employment History'!$F$40),"",'Employment History'!$F$40)</f>
        <v/>
      </c>
    </row>
    <row r="163" spans="2:3" x14ac:dyDescent="0.25">
      <c r="B163" s="16" t="s">
        <v>32</v>
      </c>
      <c r="C163" s="42" t="str">
        <f>IF(ISBLANK('Employment History'!$A$41),"",'Employment History'!$A$41)</f>
        <v/>
      </c>
    </row>
    <row r="164" spans="2:3" x14ac:dyDescent="0.25">
      <c r="B164" s="16" t="s">
        <v>76</v>
      </c>
      <c r="C164" s="42" t="str">
        <f>IF(ISBLANK('Employment History'!$C$41),"",'Employment History'!$C$41)</f>
        <v/>
      </c>
    </row>
    <row r="165" spans="2:3" x14ac:dyDescent="0.25">
      <c r="B165" s="16" t="s">
        <v>8</v>
      </c>
      <c r="C165" s="42" t="str">
        <f>IF(ISBLANK('Employment History'!$F$41),"",'Employment History'!$F$41)</f>
        <v/>
      </c>
    </row>
    <row r="166" spans="2:3" x14ac:dyDescent="0.25">
      <c r="B166" s="16" t="s">
        <v>32</v>
      </c>
      <c r="C166" s="42" t="str">
        <f>IF(ISBLANK('Employment History'!$A$42),"",'Employment History'!$A$42)</f>
        <v/>
      </c>
    </row>
    <row r="167" spans="2:3" x14ac:dyDescent="0.25">
      <c r="B167" s="16" t="s">
        <v>76</v>
      </c>
      <c r="C167" s="42" t="str">
        <f>IF(ISBLANK('Employment History'!$C$42),"",'Employment History'!$C$42)</f>
        <v/>
      </c>
    </row>
    <row r="168" spans="2:3" x14ac:dyDescent="0.25">
      <c r="B168" s="16" t="s">
        <v>8</v>
      </c>
      <c r="C168" s="42" t="str">
        <f>IF(ISBLANK('Employment History'!$F$42),"",'Employment History'!$F$42)</f>
        <v/>
      </c>
    </row>
    <row r="169" spans="2:3" x14ac:dyDescent="0.25">
      <c r="B169" s="16" t="s">
        <v>32</v>
      </c>
      <c r="C169" s="42" t="str">
        <f>IF(ISBLANK('Employment History'!$A$43),"",'Employment History'!$A$43)</f>
        <v/>
      </c>
    </row>
    <row r="170" spans="2:3" x14ac:dyDescent="0.25">
      <c r="B170" s="16" t="s">
        <v>76</v>
      </c>
      <c r="C170" s="42" t="str">
        <f>IF(ISBLANK('Employment History'!$C$43),"",'Employment History'!$C$43)</f>
        <v/>
      </c>
    </row>
    <row r="171" spans="2:3" x14ac:dyDescent="0.25">
      <c r="B171" s="16" t="s">
        <v>8</v>
      </c>
      <c r="C171" s="42" t="str">
        <f>IF(ISBLANK('Employment History'!$F$43),"",'Employment History'!$F$43)</f>
        <v/>
      </c>
    </row>
    <row r="172" spans="2:3" x14ac:dyDescent="0.25">
      <c r="B172" s="28" t="s">
        <v>77</v>
      </c>
      <c r="C172" s="42"/>
    </row>
    <row r="173" spans="2:3" x14ac:dyDescent="0.25">
      <c r="B173" s="16" t="s">
        <v>78</v>
      </c>
      <c r="C173" s="42"/>
    </row>
    <row r="174" spans="2:3" x14ac:dyDescent="0.25">
      <c r="B174" s="27" t="s">
        <v>32</v>
      </c>
      <c r="C174" s="42" t="str">
        <f>IF('Employment History'!$A$47="","",'Employment History'!$A$47)</f>
        <v/>
      </c>
    </row>
    <row r="175" spans="2:3" x14ac:dyDescent="0.25">
      <c r="B175" s="27" t="s">
        <v>79</v>
      </c>
      <c r="C175" s="42" t="str">
        <f>IF('Employment History'!$C$47="","",'Employment History'!$C$47)</f>
        <v/>
      </c>
    </row>
    <row r="176" spans="2:3" x14ac:dyDescent="0.25">
      <c r="B176" s="27" t="s">
        <v>48</v>
      </c>
      <c r="C176" s="42" t="str">
        <f>IF('Employment History'!$E$47="","",'Employment History'!$E$47)</f>
        <v/>
      </c>
    </row>
    <row r="177" spans="2:4" x14ac:dyDescent="0.25">
      <c r="B177" s="27" t="s">
        <v>80</v>
      </c>
      <c r="C177" s="42" t="str">
        <f>IF('Employment History'!$G$47="","",'Employment History'!$G$47)</f>
        <v/>
      </c>
    </row>
    <row r="178" spans="2:4" x14ac:dyDescent="0.25">
      <c r="B178" s="27" t="s">
        <v>32</v>
      </c>
      <c r="C178" s="42" t="str">
        <f>IF('Employment History'!$A$48="","",'Employment History'!$A$48)</f>
        <v/>
      </c>
    </row>
    <row r="179" spans="2:4" x14ac:dyDescent="0.25">
      <c r="B179" s="27" t="s">
        <v>79</v>
      </c>
      <c r="C179" s="42" t="str">
        <f>IF('Employment History'!$C$48="","",'Employment History'!$C$48)</f>
        <v/>
      </c>
    </row>
    <row r="180" spans="2:4" x14ac:dyDescent="0.25">
      <c r="B180" s="27" t="s">
        <v>48</v>
      </c>
      <c r="C180" s="42" t="str">
        <f>IF('Employment History'!$E$48="","",'Employment History'!$E$48)</f>
        <v/>
      </c>
    </row>
    <row r="181" spans="2:4" x14ac:dyDescent="0.25">
      <c r="B181" s="27" t="s">
        <v>80</v>
      </c>
      <c r="C181" s="42" t="str">
        <f>IF('Employment History'!$G$48="","",'Employment History'!$G$48)</f>
        <v/>
      </c>
      <c r="D181" s="39"/>
    </row>
    <row r="182" spans="2:4" x14ac:dyDescent="0.25">
      <c r="B182" s="27" t="s">
        <v>32</v>
      </c>
      <c r="C182" s="42" t="str">
        <f>IF('Employment History'!$A$49="","",'Employment History'!$A$49)</f>
        <v/>
      </c>
    </row>
    <row r="183" spans="2:4" x14ac:dyDescent="0.25">
      <c r="B183" s="27" t="s">
        <v>79</v>
      </c>
      <c r="C183" s="42" t="str">
        <f>IF('Employment History'!$C$49="","",'Employment History'!$C$49)</f>
        <v/>
      </c>
    </row>
    <row r="184" spans="2:4" x14ac:dyDescent="0.25">
      <c r="B184" s="27" t="s">
        <v>48</v>
      </c>
      <c r="C184" s="42" t="str">
        <f>IF('Employment History'!$E$49="","",'Employment History'!$E$49)</f>
        <v/>
      </c>
    </row>
    <row r="185" spans="2:4" x14ac:dyDescent="0.25">
      <c r="B185" s="27" t="s">
        <v>80</v>
      </c>
      <c r="C185" s="42" t="str">
        <f>IF('Employment History'!$G$49="","",'Employment History'!$G$49)</f>
        <v/>
      </c>
    </row>
    <row r="186" spans="2:4" x14ac:dyDescent="0.25">
      <c r="B186" s="28" t="s">
        <v>81</v>
      </c>
      <c r="C186" s="42"/>
    </row>
    <row r="187" spans="2:4" x14ac:dyDescent="0.25">
      <c r="B187" s="27" t="s">
        <v>32</v>
      </c>
      <c r="C187" s="42" t="str">
        <f>IF('Employment History'!$A$52="","",'Employment History'!$A$52)</f>
        <v/>
      </c>
    </row>
    <row r="188" spans="2:4" x14ac:dyDescent="0.25">
      <c r="B188" s="27" t="s">
        <v>79</v>
      </c>
      <c r="C188" s="42" t="str">
        <f>IF('Employment History'!$C$52="","",'Employment History'!$C$52)</f>
        <v/>
      </c>
    </row>
    <row r="189" spans="2:4" x14ac:dyDescent="0.25">
      <c r="B189" s="27" t="s">
        <v>48</v>
      </c>
      <c r="C189" s="42" t="str">
        <f>IF('Employment History'!$E$52="","",'Employment History'!$E$52)</f>
        <v/>
      </c>
    </row>
    <row r="190" spans="2:4" x14ac:dyDescent="0.25">
      <c r="B190" s="27" t="s">
        <v>80</v>
      </c>
      <c r="C190" s="42" t="str">
        <f>IF('Employment History'!$G$52="","",'Employment History'!$G$52)</f>
        <v/>
      </c>
    </row>
    <row r="191" spans="2:4" x14ac:dyDescent="0.25">
      <c r="B191" s="28" t="s">
        <v>82</v>
      </c>
      <c r="C191" s="42"/>
    </row>
    <row r="192" spans="2:4" x14ac:dyDescent="0.25">
      <c r="B192" s="28" t="s">
        <v>83</v>
      </c>
      <c r="C192" s="42"/>
    </row>
    <row r="193" spans="2:3" ht="60" x14ac:dyDescent="0.25">
      <c r="B193" s="40" t="s">
        <v>84</v>
      </c>
      <c r="C193" s="45" t="str">
        <f>IF(ISBLANK(Essay!A37),"",Essay!A37)</f>
        <v/>
      </c>
    </row>
  </sheetData>
  <sheetProtection formatColumns="0" autoFilter="0" pivotTables="0"/>
  <mergeCells count="1">
    <mergeCell ref="N23:R23"/>
  </mergeCells>
  <conditionalFormatting sqref="K48">
    <cfRule type="expression" dxfId="1" priority="3">
      <formula>IF(OR(#REF!="",IFERROR(SEARCH("@",#REF!),0)&lt;=0),1,0)</formula>
    </cfRule>
  </conditionalFormatting>
  <conditionalFormatting sqref="K49">
    <cfRule type="expression" dxfId="0" priority="1">
      <formula>IF(OR(#REF!="",IFERROR(SEARCH("@",#REF!),0)&lt;=0),1,0)</formula>
    </cfRule>
  </conditionalFormatting>
  <dataValidations count="13">
    <dataValidation type="list" allowBlank="1" showInputMessage="1" showErrorMessage="1" sqref="K7" xr:uid="{D8E33213-66A7-4704-B4AE-5BF6F41F5A3F}">
      <formula1>Account_Endorse</formula1>
    </dataValidation>
    <dataValidation type="list" allowBlank="1" showInputMessage="1" showErrorMessage="1" sqref="K10" xr:uid="{7EBF3E73-832D-4443-A8B3-B853C143B223}">
      <formula1>Source_Applicant</formula1>
    </dataValidation>
    <dataValidation type="list" allowBlank="1" showInputMessage="1" showErrorMessage="1" sqref="K26 K69 K66 K22 K11" xr:uid="{DE684CC3-D179-4D9B-9192-3E88E3B338F3}">
      <formula1>YESNO</formula1>
    </dataValidation>
    <dataValidation type="list" allowBlank="1" showInputMessage="1" showErrorMessage="1" sqref="K60" xr:uid="{F06A4615-AC5A-483B-8C73-6B432EC28B27}">
      <formula1>Recomendation</formula1>
    </dataValidation>
    <dataValidation type="list" allowBlank="1" showInputMessage="1" showErrorMessage="1" sqref="K62" xr:uid="{AC75EBF8-0B18-4F14-A713-5F364AA2DEFA}">
      <formula1>HOLDREJECT</formula1>
    </dataValidation>
    <dataValidation type="date" allowBlank="1" showInputMessage="1" showErrorMessage="1" sqref="K5 K9 K61" xr:uid="{EF1B9EAD-6AAD-43B8-A9F1-B49FFD3808A4}">
      <formula1>44197</formula1>
      <formula2>46022</formula2>
    </dataValidation>
    <dataValidation type="list" allowBlank="1" showInputMessage="1" showErrorMessage="1" sqref="K67" xr:uid="{6862ED65-96C6-4E9D-A677-DFEB50317ECF}">
      <formula1>PA</formula1>
    </dataValidation>
    <dataValidation type="list" allowBlank="1" showInputMessage="1" showErrorMessage="1" sqref="K68" xr:uid="{E195E076-DEC0-4637-A07B-5BE4950AF507}">
      <formula1>Attitude</formula1>
    </dataValidation>
    <dataValidation type="list" allowBlank="1" showInputMessage="1" showErrorMessage="1" sqref="K4" xr:uid="{08742602-3A4A-4E97-BB1F-1E0E55982DEB}">
      <formula1>JO</formula1>
    </dataValidation>
    <dataValidation type="list" allowBlank="1" showInputMessage="1" showErrorMessage="1" sqref="K35" xr:uid="{8EBB5105-1A19-4D83-BD54-783A73846F85}">
      <formula1>CPA</formula1>
    </dataValidation>
    <dataValidation type="list" allowBlank="1" showInputMessage="1" showErrorMessage="1" sqref="K79" xr:uid="{58DFD6C8-F94A-4FE0-9888-46F9154D84FE}">
      <formula1>Essay</formula1>
    </dataValidation>
    <dataValidation type="list" allowBlank="1" showInputMessage="1" showErrorMessage="1" sqref="K80" xr:uid="{04FD1BD3-BEEF-4E39-B2BB-3A19916E66FC}">
      <formula1>Verbal</formula1>
    </dataValidation>
    <dataValidation type="list" allowBlank="1" showInputMessage="1" showErrorMessage="1" sqref="K82" xr:uid="{781C95EC-8247-4639-A180-D33949E5AFBA}">
      <formula1>OpsInter</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AE825-7392-44AA-87CD-7F08FF6D3937}">
  <sheetPr>
    <tabColor rgb="FFFFC000"/>
  </sheetPr>
  <dimension ref="B2:B7"/>
  <sheetViews>
    <sheetView showGridLines="0" workbookViewId="0">
      <selection activeCell="B30" sqref="B30"/>
    </sheetView>
  </sheetViews>
  <sheetFormatPr defaultRowHeight="15" x14ac:dyDescent="0.25"/>
  <cols>
    <col min="1" max="1" width="4" customWidth="1"/>
    <col min="2" max="2" width="111.5703125" bestFit="1" customWidth="1"/>
  </cols>
  <sheetData>
    <row r="2" spans="2:2" x14ac:dyDescent="0.25">
      <c r="B2" s="91" t="s">
        <v>548</v>
      </c>
    </row>
    <row r="3" spans="2:2" x14ac:dyDescent="0.25">
      <c r="B3" t="s">
        <v>546</v>
      </c>
    </row>
    <row r="4" spans="2:2" x14ac:dyDescent="0.25">
      <c r="B4" t="s">
        <v>542</v>
      </c>
    </row>
    <row r="5" spans="2:2" x14ac:dyDescent="0.25">
      <c r="B5" t="s">
        <v>543</v>
      </c>
    </row>
    <row r="6" spans="2:2" x14ac:dyDescent="0.25">
      <c r="B6" t="s">
        <v>544</v>
      </c>
    </row>
    <row r="7" spans="2:2" x14ac:dyDescent="0.25">
      <c r="B7" t="s">
        <v>545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055F0-210D-43D6-AB5E-38EA45B38713}">
  <sheetPr codeName="Sheet2">
    <tabColor rgb="FF00B050"/>
  </sheetPr>
  <dimension ref="A1:J52"/>
  <sheetViews>
    <sheetView showGridLines="0" zoomScaleNormal="100" workbookViewId="0">
      <selection activeCell="G34" sqref="G34:H37"/>
    </sheetView>
  </sheetViews>
  <sheetFormatPr defaultColWidth="8.85546875" defaultRowHeight="15" x14ac:dyDescent="0.25"/>
  <cols>
    <col min="1" max="1" width="17.42578125" style="2" customWidth="1"/>
    <col min="2" max="2" width="4.28515625" style="2" customWidth="1"/>
    <col min="3" max="5" width="8.85546875" style="2"/>
    <col min="6" max="6" width="12.85546875" style="2" customWidth="1"/>
    <col min="7" max="7" width="8.85546875" style="2"/>
    <col min="8" max="8" width="10.85546875" style="2" customWidth="1"/>
    <col min="9" max="16384" width="8.85546875" style="2"/>
  </cols>
  <sheetData>
    <row r="1" spans="1:10" x14ac:dyDescent="0.25">
      <c r="A1" s="139"/>
      <c r="B1" s="140"/>
      <c r="C1" s="140"/>
      <c r="D1" s="140"/>
      <c r="E1" s="140"/>
      <c r="F1" s="140"/>
      <c r="G1" s="140"/>
      <c r="H1" s="140"/>
      <c r="I1" s="140"/>
      <c r="J1" s="141"/>
    </row>
    <row r="2" spans="1:10" x14ac:dyDescent="0.25">
      <c r="A2" s="142"/>
      <c r="B2" s="143"/>
      <c r="C2" s="143"/>
      <c r="D2" s="143"/>
      <c r="E2" s="143"/>
      <c r="F2" s="143"/>
      <c r="G2" s="143"/>
      <c r="H2" s="143"/>
      <c r="I2" s="143"/>
      <c r="J2" s="144"/>
    </row>
    <row r="3" spans="1:10" x14ac:dyDescent="0.25">
      <c r="A3" s="142"/>
      <c r="B3" s="143"/>
      <c r="C3" s="143"/>
      <c r="D3" s="143"/>
      <c r="E3" s="143"/>
      <c r="F3" s="143"/>
      <c r="G3" s="143"/>
      <c r="H3" s="143"/>
      <c r="I3" s="143"/>
      <c r="J3" s="144"/>
    </row>
    <row r="4" spans="1:10" x14ac:dyDescent="0.25">
      <c r="A4" s="142"/>
      <c r="B4" s="143"/>
      <c r="C4" s="143"/>
      <c r="D4" s="143"/>
      <c r="E4" s="143"/>
      <c r="F4" s="143"/>
      <c r="G4" s="143"/>
      <c r="H4" s="143"/>
      <c r="I4" s="143"/>
      <c r="J4" s="144"/>
    </row>
    <row r="5" spans="1:10" ht="17.45" customHeight="1" x14ac:dyDescent="0.25">
      <c r="A5" s="145"/>
      <c r="B5" s="146"/>
      <c r="C5" s="146"/>
      <c r="D5" s="146"/>
      <c r="E5" s="146"/>
      <c r="F5" s="146"/>
      <c r="G5" s="146"/>
      <c r="H5" s="146"/>
      <c r="I5" s="146"/>
      <c r="J5" s="147"/>
    </row>
    <row r="6" spans="1:10" x14ac:dyDescent="0.25">
      <c r="A6" s="148" t="s">
        <v>169</v>
      </c>
      <c r="B6" s="149"/>
      <c r="C6" s="149"/>
      <c r="D6" s="149"/>
      <c r="E6" s="149"/>
      <c r="F6" s="149"/>
      <c r="G6" s="149"/>
      <c r="H6" s="149"/>
      <c r="I6" s="149"/>
      <c r="J6" s="150"/>
    </row>
    <row r="7" spans="1:10" x14ac:dyDescent="0.25">
      <c r="A7" s="151" t="s">
        <v>0</v>
      </c>
      <c r="B7" s="152"/>
      <c r="C7" s="151" t="s">
        <v>1</v>
      </c>
      <c r="D7" s="152"/>
      <c r="E7" s="151" t="s">
        <v>2</v>
      </c>
      <c r="F7" s="152"/>
      <c r="G7" s="151" t="s">
        <v>3</v>
      </c>
      <c r="H7" s="152"/>
      <c r="I7" s="151" t="s">
        <v>4</v>
      </c>
      <c r="J7" s="152"/>
    </row>
    <row r="8" spans="1:10" x14ac:dyDescent="0.25">
      <c r="A8" s="134"/>
      <c r="B8" s="135"/>
      <c r="C8" s="136"/>
      <c r="D8" s="136"/>
      <c r="E8" s="136"/>
      <c r="F8" s="136"/>
      <c r="G8" s="136"/>
      <c r="H8" s="136"/>
      <c r="I8" s="136"/>
      <c r="J8" s="136"/>
    </row>
    <row r="9" spans="1:10" x14ac:dyDescent="0.25">
      <c r="A9" s="131" t="s">
        <v>5</v>
      </c>
      <c r="B9" s="132"/>
      <c r="C9" s="132"/>
      <c r="D9" s="132"/>
      <c r="E9" s="133"/>
      <c r="F9" s="131" t="s">
        <v>6</v>
      </c>
      <c r="G9" s="132"/>
      <c r="H9" s="132"/>
      <c r="I9" s="132"/>
      <c r="J9" s="133"/>
    </row>
    <row r="10" spans="1:10" ht="15" customHeight="1" x14ac:dyDescent="0.25">
      <c r="A10" s="123"/>
      <c r="B10" s="123"/>
      <c r="C10" s="123"/>
      <c r="D10" s="123"/>
      <c r="E10" s="123"/>
      <c r="F10" s="123"/>
      <c r="G10" s="123"/>
      <c r="H10" s="123"/>
      <c r="I10" s="123"/>
      <c r="J10" s="123"/>
    </row>
    <row r="11" spans="1:10" x14ac:dyDescent="0.25">
      <c r="A11" s="123"/>
      <c r="B11" s="123"/>
      <c r="C11" s="123"/>
      <c r="D11" s="123"/>
      <c r="E11" s="123"/>
      <c r="F11" s="123"/>
      <c r="G11" s="123"/>
      <c r="H11" s="123"/>
      <c r="I11" s="123"/>
      <c r="J11" s="123"/>
    </row>
    <row r="12" spans="1:10" x14ac:dyDescent="0.25">
      <c r="A12" s="123"/>
      <c r="B12" s="123"/>
      <c r="C12" s="123"/>
      <c r="D12" s="123"/>
      <c r="E12" s="123"/>
      <c r="F12" s="123"/>
      <c r="G12" s="123"/>
      <c r="H12" s="123"/>
      <c r="I12" s="123"/>
      <c r="J12" s="123"/>
    </row>
    <row r="13" spans="1:10" x14ac:dyDescent="0.25">
      <c r="A13" s="123"/>
      <c r="B13" s="123"/>
      <c r="C13" s="123"/>
      <c r="D13" s="123"/>
      <c r="E13" s="123"/>
      <c r="F13" s="123"/>
      <c r="G13" s="123"/>
      <c r="H13" s="123"/>
      <c r="I13" s="123"/>
      <c r="J13" s="123"/>
    </row>
    <row r="14" spans="1:10" x14ac:dyDescent="0.25">
      <c r="A14" s="123"/>
      <c r="B14" s="123"/>
      <c r="C14" s="123"/>
      <c r="D14" s="123"/>
      <c r="E14" s="123"/>
      <c r="F14" s="123"/>
      <c r="G14" s="123"/>
      <c r="H14" s="123"/>
      <c r="I14" s="123"/>
      <c r="J14" s="123"/>
    </row>
    <row r="15" spans="1:10" x14ac:dyDescent="0.25">
      <c r="A15" s="123"/>
      <c r="B15" s="123"/>
      <c r="C15" s="123"/>
      <c r="D15" s="123"/>
      <c r="E15" s="123"/>
      <c r="F15" s="123"/>
      <c r="G15" s="123"/>
      <c r="H15" s="123"/>
      <c r="I15" s="123"/>
      <c r="J15" s="123"/>
    </row>
    <row r="16" spans="1:10" x14ac:dyDescent="0.25">
      <c r="A16" s="123"/>
      <c r="B16" s="123"/>
      <c r="C16" s="123"/>
      <c r="D16" s="123"/>
      <c r="E16" s="123"/>
      <c r="F16" s="123"/>
      <c r="G16" s="123"/>
      <c r="H16" s="123"/>
      <c r="I16" s="123"/>
      <c r="J16" s="123"/>
    </row>
    <row r="17" spans="1:10" x14ac:dyDescent="0.25">
      <c r="A17" s="123"/>
      <c r="B17" s="123"/>
      <c r="C17" s="123"/>
      <c r="D17" s="123"/>
      <c r="E17" s="123"/>
      <c r="F17" s="123"/>
      <c r="G17" s="123"/>
      <c r="H17" s="123"/>
      <c r="I17" s="123"/>
      <c r="J17" s="123"/>
    </row>
    <row r="18" spans="1:10" x14ac:dyDescent="0.25">
      <c r="A18" s="115" t="s">
        <v>7</v>
      </c>
      <c r="B18" s="115"/>
      <c r="C18" s="115"/>
      <c r="D18" s="115"/>
      <c r="E18" s="115"/>
      <c r="F18" s="115" t="s">
        <v>8</v>
      </c>
      <c r="G18" s="115"/>
      <c r="H18" s="115"/>
      <c r="I18" s="115"/>
      <c r="J18" s="115"/>
    </row>
    <row r="19" spans="1:10" x14ac:dyDescent="0.25">
      <c r="A19" s="120"/>
      <c r="B19" s="121"/>
      <c r="C19" s="121"/>
      <c r="D19" s="121"/>
      <c r="E19" s="121"/>
      <c r="F19" s="122"/>
      <c r="G19" s="123"/>
      <c r="H19" s="123"/>
      <c r="I19" s="123"/>
      <c r="J19" s="123"/>
    </row>
    <row r="20" spans="1:10" ht="22.15" customHeight="1" x14ac:dyDescent="0.25">
      <c r="A20" s="116" t="s">
        <v>9</v>
      </c>
      <c r="B20" s="116"/>
      <c r="C20" s="123"/>
      <c r="D20" s="123"/>
      <c r="E20" s="137" t="s">
        <v>12</v>
      </c>
      <c r="F20" s="137"/>
      <c r="G20" s="137"/>
      <c r="H20" s="116" t="s">
        <v>18</v>
      </c>
      <c r="I20" s="116"/>
      <c r="J20" s="116"/>
    </row>
    <row r="21" spans="1:10" ht="19.899999999999999" customHeight="1" x14ac:dyDescent="0.25">
      <c r="A21" s="116" t="s">
        <v>10</v>
      </c>
      <c r="B21" s="116"/>
      <c r="C21" s="123"/>
      <c r="D21" s="123"/>
      <c r="E21" s="137"/>
      <c r="F21" s="137"/>
      <c r="G21" s="137"/>
      <c r="H21" s="123"/>
      <c r="I21" s="123"/>
      <c r="J21" s="123"/>
    </row>
    <row r="22" spans="1:10" ht="27" customHeight="1" x14ac:dyDescent="0.25">
      <c r="A22" s="125" t="s">
        <v>11</v>
      </c>
      <c r="B22" s="126"/>
      <c r="C22" s="127"/>
      <c r="D22" s="128"/>
      <c r="E22" s="177" t="s">
        <v>13</v>
      </c>
      <c r="F22" s="178"/>
      <c r="G22" s="179"/>
      <c r="H22" s="124" t="s">
        <v>19</v>
      </c>
      <c r="I22" s="124"/>
      <c r="J22" s="124"/>
    </row>
    <row r="23" spans="1:10" x14ac:dyDescent="0.25">
      <c r="A23" s="115" t="s">
        <v>20</v>
      </c>
      <c r="B23" s="115"/>
      <c r="C23" s="115"/>
      <c r="D23" s="115"/>
      <c r="E23" s="129" t="s">
        <v>14</v>
      </c>
      <c r="F23" s="129"/>
      <c r="G23" s="8"/>
      <c r="H23" s="123"/>
      <c r="I23" s="123"/>
      <c r="J23" s="123"/>
    </row>
    <row r="24" spans="1:10" x14ac:dyDescent="0.25">
      <c r="A24" s="129" t="s">
        <v>21</v>
      </c>
      <c r="B24" s="129"/>
      <c r="C24" s="130"/>
      <c r="D24" s="130"/>
      <c r="E24" s="129" t="s">
        <v>15</v>
      </c>
      <c r="F24" s="129"/>
      <c r="G24" s="8"/>
      <c r="H24" s="123"/>
      <c r="I24" s="123"/>
      <c r="J24" s="123"/>
    </row>
    <row r="25" spans="1:10" x14ac:dyDescent="0.25">
      <c r="A25" s="129" t="s">
        <v>22</v>
      </c>
      <c r="B25" s="129"/>
      <c r="C25" s="130"/>
      <c r="D25" s="130"/>
      <c r="E25" s="129" t="s">
        <v>16</v>
      </c>
      <c r="F25" s="129"/>
      <c r="G25" s="8"/>
      <c r="H25" s="153" t="s">
        <v>580</v>
      </c>
      <c r="I25" s="153"/>
      <c r="J25" s="153"/>
    </row>
    <row r="26" spans="1:10" x14ac:dyDescent="0.25">
      <c r="A26" s="129" t="s">
        <v>23</v>
      </c>
      <c r="B26" s="129"/>
      <c r="C26" s="130"/>
      <c r="D26" s="130"/>
      <c r="E26" s="129" t="s">
        <v>17</v>
      </c>
      <c r="F26" s="129"/>
      <c r="G26" s="8"/>
      <c r="H26" s="153"/>
      <c r="I26" s="153"/>
      <c r="J26" s="153"/>
    </row>
    <row r="27" spans="1:10" x14ac:dyDescent="0.25">
      <c r="A27" s="119" t="s">
        <v>24</v>
      </c>
      <c r="B27" s="119"/>
      <c r="C27" s="119" t="s">
        <v>25</v>
      </c>
      <c r="D27" s="119"/>
      <c r="E27" s="119"/>
      <c r="F27" s="119" t="s">
        <v>26</v>
      </c>
      <c r="G27" s="119"/>
      <c r="H27" s="119" t="s">
        <v>27</v>
      </c>
      <c r="I27" s="119"/>
      <c r="J27" s="119"/>
    </row>
    <row r="28" spans="1:10" x14ac:dyDescent="0.25">
      <c r="A28" s="138"/>
      <c r="B28" s="138"/>
      <c r="C28" s="114"/>
      <c r="D28" s="114"/>
      <c r="E28" s="114"/>
      <c r="F28" s="114"/>
      <c r="G28" s="114"/>
      <c r="H28" s="114"/>
      <c r="I28" s="114"/>
      <c r="J28" s="114"/>
    </row>
    <row r="29" spans="1:10" x14ac:dyDescent="0.25">
      <c r="A29" s="115" t="s">
        <v>28</v>
      </c>
      <c r="B29" s="115"/>
      <c r="C29" s="115"/>
      <c r="D29" s="115"/>
      <c r="E29" s="115"/>
      <c r="F29" s="115"/>
      <c r="G29" s="119" t="s">
        <v>30</v>
      </c>
      <c r="H29" s="119"/>
      <c r="I29" s="119" t="s">
        <v>31</v>
      </c>
      <c r="J29" s="119"/>
    </row>
    <row r="30" spans="1:10" x14ac:dyDescent="0.25">
      <c r="A30" s="117" t="s">
        <v>29</v>
      </c>
      <c r="B30" s="117"/>
      <c r="C30" s="117"/>
      <c r="D30" s="117"/>
      <c r="E30" s="117"/>
      <c r="F30" s="117"/>
      <c r="G30" s="113"/>
      <c r="H30" s="113"/>
      <c r="I30" s="114"/>
      <c r="J30" s="114"/>
    </row>
    <row r="31" spans="1:10" x14ac:dyDescent="0.25">
      <c r="A31" s="5" t="s">
        <v>32</v>
      </c>
      <c r="B31" s="112"/>
      <c r="C31" s="112"/>
      <c r="D31" s="112"/>
      <c r="E31" s="112"/>
      <c r="F31" s="112"/>
      <c r="G31" s="113"/>
      <c r="H31" s="113"/>
      <c r="I31" s="114"/>
      <c r="J31" s="114"/>
    </row>
    <row r="32" spans="1:10" x14ac:dyDescent="0.25">
      <c r="A32" s="5" t="s">
        <v>33</v>
      </c>
      <c r="B32" s="112"/>
      <c r="C32" s="112"/>
      <c r="D32" s="112"/>
      <c r="E32" s="112"/>
      <c r="F32" s="112"/>
      <c r="G32" s="113"/>
      <c r="H32" s="113"/>
      <c r="I32" s="114"/>
      <c r="J32" s="114"/>
    </row>
    <row r="33" spans="1:10" x14ac:dyDescent="0.25">
      <c r="A33" s="5" t="s">
        <v>34</v>
      </c>
      <c r="B33" s="112"/>
      <c r="C33" s="112"/>
      <c r="D33" s="112"/>
      <c r="E33" s="112"/>
      <c r="F33" s="112"/>
      <c r="G33" s="113"/>
      <c r="H33" s="113"/>
      <c r="I33" s="114"/>
      <c r="J33" s="114"/>
    </row>
    <row r="34" spans="1:10" x14ac:dyDescent="0.25">
      <c r="A34" s="117" t="s">
        <v>35</v>
      </c>
      <c r="B34" s="117"/>
      <c r="C34" s="117"/>
      <c r="D34" s="117"/>
      <c r="E34" s="117"/>
      <c r="F34" s="117"/>
      <c r="G34" s="113"/>
      <c r="H34" s="113"/>
      <c r="I34" s="113"/>
      <c r="J34" s="114"/>
    </row>
    <row r="35" spans="1:10" x14ac:dyDescent="0.25">
      <c r="A35" s="5" t="s">
        <v>32</v>
      </c>
      <c r="B35" s="112"/>
      <c r="C35" s="112"/>
      <c r="D35" s="112"/>
      <c r="E35" s="112"/>
      <c r="F35" s="112"/>
      <c r="G35" s="113"/>
      <c r="H35" s="113"/>
      <c r="I35" s="114"/>
      <c r="J35" s="114"/>
    </row>
    <row r="36" spans="1:10" x14ac:dyDescent="0.25">
      <c r="A36" s="5" t="s">
        <v>33</v>
      </c>
      <c r="B36" s="112"/>
      <c r="C36" s="112"/>
      <c r="D36" s="112"/>
      <c r="E36" s="112"/>
      <c r="F36" s="112"/>
      <c r="G36" s="113"/>
      <c r="H36" s="113"/>
      <c r="I36" s="114"/>
      <c r="J36" s="114"/>
    </row>
    <row r="37" spans="1:10" x14ac:dyDescent="0.25">
      <c r="A37" s="5" t="s">
        <v>34</v>
      </c>
      <c r="B37" s="112"/>
      <c r="C37" s="112"/>
      <c r="D37" s="112"/>
      <c r="E37" s="112"/>
      <c r="F37" s="112"/>
      <c r="G37" s="113"/>
      <c r="H37" s="113"/>
      <c r="I37" s="114"/>
      <c r="J37" s="114"/>
    </row>
    <row r="38" spans="1:10" x14ac:dyDescent="0.25">
      <c r="A38" s="118" t="s">
        <v>36</v>
      </c>
      <c r="B38" s="118"/>
      <c r="C38" s="118"/>
      <c r="D38" s="118"/>
      <c r="E38" s="118"/>
      <c r="F38" s="118"/>
      <c r="G38" s="113"/>
      <c r="H38" s="113"/>
      <c r="I38" s="114"/>
      <c r="J38" s="114"/>
    </row>
    <row r="39" spans="1:10" x14ac:dyDescent="0.25">
      <c r="A39" s="5" t="s">
        <v>32</v>
      </c>
      <c r="B39" s="112"/>
      <c r="C39" s="112"/>
      <c r="D39" s="112"/>
      <c r="E39" s="112"/>
      <c r="F39" s="112"/>
      <c r="G39" s="113"/>
      <c r="H39" s="113"/>
      <c r="I39" s="114"/>
      <c r="J39" s="114"/>
    </row>
    <row r="40" spans="1:10" x14ac:dyDescent="0.25">
      <c r="A40" s="5" t="s">
        <v>33</v>
      </c>
      <c r="B40" s="112"/>
      <c r="C40" s="112"/>
      <c r="D40" s="112"/>
      <c r="E40" s="112"/>
      <c r="F40" s="112"/>
      <c r="G40" s="113"/>
      <c r="H40" s="113"/>
      <c r="I40" s="114"/>
      <c r="J40" s="114"/>
    </row>
    <row r="41" spans="1:10" x14ac:dyDescent="0.25">
      <c r="A41" s="5" t="s">
        <v>34</v>
      </c>
      <c r="B41" s="112"/>
      <c r="C41" s="112"/>
      <c r="D41" s="112"/>
      <c r="E41" s="112"/>
      <c r="F41" s="112"/>
      <c r="G41" s="113"/>
      <c r="H41" s="113"/>
      <c r="I41" s="114"/>
      <c r="J41" s="114"/>
    </row>
    <row r="42" spans="1:10" x14ac:dyDescent="0.25">
      <c r="A42" s="115" t="s">
        <v>37</v>
      </c>
      <c r="B42" s="115"/>
      <c r="C42" s="115"/>
      <c r="D42" s="115"/>
      <c r="E42" s="115"/>
      <c r="F42" s="115"/>
      <c r="G42" s="115"/>
      <c r="H42" s="115"/>
      <c r="I42" s="115"/>
      <c r="J42" s="115"/>
    </row>
    <row r="43" spans="1:10" x14ac:dyDescent="0.25">
      <c r="A43" s="4"/>
      <c r="B43" s="116" t="s">
        <v>32</v>
      </c>
      <c r="C43" s="116"/>
      <c r="D43" s="116"/>
      <c r="E43" s="116"/>
      <c r="F43" s="116" t="s">
        <v>39</v>
      </c>
      <c r="G43" s="116"/>
      <c r="H43" s="116" t="s">
        <v>40</v>
      </c>
      <c r="I43" s="116"/>
      <c r="J43" s="116"/>
    </row>
    <row r="44" spans="1:10" x14ac:dyDescent="0.25">
      <c r="A44" s="5" t="s">
        <v>38</v>
      </c>
      <c r="B44" s="112"/>
      <c r="C44" s="112"/>
      <c r="D44" s="112"/>
      <c r="E44" s="112"/>
      <c r="F44" s="112"/>
      <c r="G44" s="112"/>
      <c r="H44" s="112"/>
      <c r="I44" s="112"/>
      <c r="J44" s="112"/>
    </row>
    <row r="45" spans="1:10" x14ac:dyDescent="0.25">
      <c r="A45" s="5" t="s">
        <v>41</v>
      </c>
      <c r="B45" s="112"/>
      <c r="C45" s="112"/>
      <c r="D45" s="112"/>
      <c r="E45" s="112"/>
      <c r="F45" s="112"/>
      <c r="G45" s="112"/>
      <c r="H45" s="112"/>
      <c r="I45" s="112"/>
      <c r="J45" s="112"/>
    </row>
    <row r="46" spans="1:10" x14ac:dyDescent="0.25">
      <c r="A46" s="111" t="s">
        <v>42</v>
      </c>
      <c r="B46" s="112"/>
      <c r="C46" s="112"/>
      <c r="D46" s="112"/>
      <c r="E46" s="112"/>
      <c r="F46" s="112"/>
      <c r="G46" s="112"/>
      <c r="H46" s="112"/>
      <c r="I46" s="112"/>
      <c r="J46" s="112"/>
    </row>
    <row r="47" spans="1:10" x14ac:dyDescent="0.25">
      <c r="A47" s="111"/>
      <c r="B47" s="112"/>
      <c r="C47" s="112"/>
      <c r="D47" s="112"/>
      <c r="E47" s="112"/>
      <c r="F47" s="112"/>
      <c r="G47" s="112"/>
      <c r="H47" s="112"/>
      <c r="I47" s="112"/>
      <c r="J47" s="112"/>
    </row>
    <row r="48" spans="1:10" x14ac:dyDescent="0.25">
      <c r="A48" s="111"/>
      <c r="B48" s="112"/>
      <c r="C48" s="112"/>
      <c r="D48" s="112"/>
      <c r="E48" s="112"/>
      <c r="F48" s="112"/>
      <c r="G48" s="112"/>
      <c r="H48" s="112"/>
      <c r="I48" s="112"/>
      <c r="J48" s="112"/>
    </row>
    <row r="49" spans="1:10" x14ac:dyDescent="0.25">
      <c r="A49" s="111"/>
      <c r="B49" s="112"/>
      <c r="C49" s="112"/>
      <c r="D49" s="112"/>
      <c r="E49" s="112"/>
      <c r="F49" s="112"/>
      <c r="G49" s="112"/>
      <c r="H49" s="112"/>
      <c r="I49" s="112"/>
      <c r="J49" s="112"/>
    </row>
    <row r="50" spans="1:10" x14ac:dyDescent="0.25">
      <c r="A50" s="111"/>
      <c r="B50" s="112"/>
      <c r="C50" s="112"/>
      <c r="D50" s="112"/>
      <c r="E50" s="112"/>
      <c r="F50" s="112"/>
      <c r="G50" s="112"/>
      <c r="H50" s="112"/>
      <c r="I50" s="112"/>
      <c r="J50" s="112"/>
    </row>
    <row r="51" spans="1:10" x14ac:dyDescent="0.25">
      <c r="A51" s="5" t="s">
        <v>43</v>
      </c>
      <c r="B51" s="112"/>
      <c r="C51" s="112"/>
      <c r="D51" s="112"/>
      <c r="E51" s="112"/>
      <c r="F51" s="112"/>
      <c r="G51" s="112"/>
      <c r="H51" s="112"/>
      <c r="I51" s="112"/>
      <c r="J51" s="112"/>
    </row>
    <row r="52" spans="1:10" x14ac:dyDescent="0.25">
      <c r="A52" s="5" t="s">
        <v>44</v>
      </c>
      <c r="B52" s="112"/>
      <c r="C52" s="112"/>
      <c r="D52" s="112"/>
      <c r="E52" s="112"/>
      <c r="F52" s="112"/>
      <c r="G52" s="112"/>
      <c r="H52" s="112"/>
      <c r="I52" s="112"/>
      <c r="J52" s="112"/>
    </row>
  </sheetData>
  <sheetProtection sheet="1" objects="1" scenarios="1"/>
  <mergeCells count="105">
    <mergeCell ref="E22:G22"/>
    <mergeCell ref="H52:J52"/>
    <mergeCell ref="F52:G52"/>
    <mergeCell ref="H50:J50"/>
    <mergeCell ref="H51:J51"/>
    <mergeCell ref="B52:E52"/>
    <mergeCell ref="F50:G50"/>
    <mergeCell ref="A1:J5"/>
    <mergeCell ref="A6:J6"/>
    <mergeCell ref="B35:F35"/>
    <mergeCell ref="B36:F36"/>
    <mergeCell ref="B37:F37"/>
    <mergeCell ref="A26:B26"/>
    <mergeCell ref="C25:D25"/>
    <mergeCell ref="C26:D26"/>
    <mergeCell ref="E25:F25"/>
    <mergeCell ref="E26:F26"/>
    <mergeCell ref="A7:B7"/>
    <mergeCell ref="C7:D7"/>
    <mergeCell ref="E7:F7"/>
    <mergeCell ref="G7:H7"/>
    <mergeCell ref="I7:J7"/>
    <mergeCell ref="H25:J26"/>
    <mergeCell ref="A25:B25"/>
    <mergeCell ref="A9:E9"/>
    <mergeCell ref="F9:J9"/>
    <mergeCell ref="A8:B8"/>
    <mergeCell ref="C8:D8"/>
    <mergeCell ref="E8:F8"/>
    <mergeCell ref="G8:H8"/>
    <mergeCell ref="I8:J8"/>
    <mergeCell ref="A18:E18"/>
    <mergeCell ref="B46:E46"/>
    <mergeCell ref="F44:G44"/>
    <mergeCell ref="F45:G45"/>
    <mergeCell ref="F46:G46"/>
    <mergeCell ref="A10:E17"/>
    <mergeCell ref="F10:J17"/>
    <mergeCell ref="E20:G21"/>
    <mergeCell ref="H20:J20"/>
    <mergeCell ref="H21:J21"/>
    <mergeCell ref="A27:B27"/>
    <mergeCell ref="C27:E27"/>
    <mergeCell ref="F27:G27"/>
    <mergeCell ref="H27:J27"/>
    <mergeCell ref="A28:B28"/>
    <mergeCell ref="C28:E28"/>
    <mergeCell ref="F28:G28"/>
    <mergeCell ref="H28:J28"/>
    <mergeCell ref="F47:G47"/>
    <mergeCell ref="F48:G48"/>
    <mergeCell ref="F49:G49"/>
    <mergeCell ref="B47:E47"/>
    <mergeCell ref="B48:E48"/>
    <mergeCell ref="B44:E44"/>
    <mergeCell ref="B45:E45"/>
    <mergeCell ref="F18:J18"/>
    <mergeCell ref="A19:E19"/>
    <mergeCell ref="F19:J19"/>
    <mergeCell ref="H22:J22"/>
    <mergeCell ref="H23:J24"/>
    <mergeCell ref="A21:B21"/>
    <mergeCell ref="A22:B22"/>
    <mergeCell ref="C20:D20"/>
    <mergeCell ref="C21:D21"/>
    <mergeCell ref="C22:D22"/>
    <mergeCell ref="A23:D23"/>
    <mergeCell ref="A24:B24"/>
    <mergeCell ref="C24:D24"/>
    <mergeCell ref="E23:F23"/>
    <mergeCell ref="E24:F24"/>
    <mergeCell ref="A20:B20"/>
    <mergeCell ref="G30:H33"/>
    <mergeCell ref="B31:F31"/>
    <mergeCell ref="B32:F32"/>
    <mergeCell ref="B33:F33"/>
    <mergeCell ref="A29:F29"/>
    <mergeCell ref="G29:H29"/>
    <mergeCell ref="I29:J29"/>
    <mergeCell ref="A30:F30"/>
    <mergeCell ref="I30:J33"/>
    <mergeCell ref="A46:A50"/>
    <mergeCell ref="B51:E51"/>
    <mergeCell ref="B49:E49"/>
    <mergeCell ref="B50:E50"/>
    <mergeCell ref="I34:J37"/>
    <mergeCell ref="I38:J41"/>
    <mergeCell ref="A42:J42"/>
    <mergeCell ref="B43:E43"/>
    <mergeCell ref="F43:G43"/>
    <mergeCell ref="H43:J43"/>
    <mergeCell ref="B39:F39"/>
    <mergeCell ref="B40:F40"/>
    <mergeCell ref="B41:F41"/>
    <mergeCell ref="G34:H37"/>
    <mergeCell ref="G38:H41"/>
    <mergeCell ref="A34:F34"/>
    <mergeCell ref="A38:F38"/>
    <mergeCell ref="F51:G51"/>
    <mergeCell ref="H44:J44"/>
    <mergeCell ref="H45:J45"/>
    <mergeCell ref="H46:J46"/>
    <mergeCell ref="H47:J47"/>
    <mergeCell ref="H48:J48"/>
    <mergeCell ref="H49:J49"/>
  </mergeCells>
  <dataValidations count="8">
    <dataValidation type="list" allowBlank="1" showInputMessage="1" showErrorMessage="1" sqref="H21:J21" xr:uid="{30B1E22C-F0A5-4E3B-A6E7-153F5DAA5B77}">
      <formula1>"Full Time,Part Time"</formula1>
    </dataValidation>
    <dataValidation type="list" allowBlank="1" showInputMessage="1" showErrorMessage="1" sqref="H23:J24" xr:uid="{4BD2A551-550A-4E30-ABFE-215FA47BD461}">
      <formula1>"Print Ad,Internet/Web,School/PESO Directory,Outdoor Billboard/Signage,Radio/TV Ads,Job Fairs/Events,Referral by Applicant,Referral by Employee,Headhunter Referral,Training Center,Others"</formula1>
    </dataValidation>
    <dataValidation type="custom" showInputMessage="1" showErrorMessage="1" errorTitle="Contact Number" error="You have entered invalid number" promptTitle="Contact Number" prompt="Please enter only valid contact numbers _x000a_e.g. Local Mobile   |  9201234567_x000a_       Local Landline |  028881234" sqref="A19:E19" xr:uid="{BAADD4D8-E196-4C82-B9E0-8846D7D4FB95}">
      <formula1>IF(AND(ISNUMBER(A19),LEN(A19)&lt;=13),1,0)</formula1>
    </dataValidation>
    <dataValidation type="custom" errorStyle="warning" allowBlank="1" showInputMessage="1" showErrorMessage="1" errorTitle="Email" error="Please enter your email address" promptTitle="Email" prompt="Please enter valid email address" sqref="F19:J19" xr:uid="{ABD05399-2574-4E36-93E5-8DA92D29B74E}">
      <formula1>1</formula1>
    </dataValidation>
    <dataValidation type="list" allowBlank="1" showInputMessage="1" showErrorMessage="1" sqref="G23:G26" xr:uid="{94684124-9857-4C47-9014-7A550FCA8336}">
      <formula1>"Yes,No"</formula1>
    </dataValidation>
    <dataValidation type="whole" allowBlank="1" showInputMessage="1" showErrorMessage="1" promptTitle="Salary" prompt="Please enter only numbers_x000a_e.g. 1000" sqref="C20:D20 C21:D21" xr:uid="{23D8C37A-1FC5-4BE0-B7E5-0CCF43252C33}">
      <formula1>1</formula1>
      <formula2>10000000</formula2>
    </dataValidation>
    <dataValidation type="list" allowBlank="1" showInputMessage="1" showErrorMessage="1" sqref="F28:G28" xr:uid="{91533D09-8F92-4533-8DD2-F83F8E7E309F}">
      <formula1>"Female,Male"</formula1>
    </dataValidation>
    <dataValidation type="list" allowBlank="1" showInputMessage="1" showErrorMessage="1" sqref="H28:J28" xr:uid="{EE786DC2-8AC7-4995-82D8-7FCCA34A93A7}">
      <formula1>"Single,Married,Widowed,Separated,Divorced"</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868B-C02B-44CE-A4C1-441F4927BB77}">
  <sheetPr codeName="Sheet3">
    <tabColor rgb="FF00B050"/>
  </sheetPr>
  <dimension ref="A1:L54"/>
  <sheetViews>
    <sheetView showGridLines="0" zoomScaleNormal="100" workbookViewId="0">
      <selection activeCell="A47" sqref="A47:B47"/>
    </sheetView>
  </sheetViews>
  <sheetFormatPr defaultRowHeight="15" x14ac:dyDescent="0.25"/>
  <cols>
    <col min="1" max="1" width="14.140625" bestFit="1" customWidth="1"/>
    <col min="4" max="4" width="11.85546875" bestFit="1" customWidth="1"/>
    <col min="6" max="6" width="10.140625" customWidth="1"/>
    <col min="7" max="7" width="13.28515625" bestFit="1" customWidth="1"/>
    <col min="8" max="8" width="11.85546875" bestFit="1" customWidth="1"/>
  </cols>
  <sheetData>
    <row r="1" spans="1:8" x14ac:dyDescent="0.25">
      <c r="A1" s="163" t="s">
        <v>45</v>
      </c>
      <c r="B1" s="163"/>
      <c r="C1" s="163"/>
      <c r="D1" s="163"/>
      <c r="E1" s="163"/>
      <c r="F1" s="163"/>
      <c r="G1" s="163"/>
      <c r="H1" s="163"/>
    </row>
    <row r="2" spans="1:8" ht="29.45" customHeight="1" x14ac:dyDescent="0.25">
      <c r="A2" s="104" t="s">
        <v>46</v>
      </c>
      <c r="B2" s="169"/>
      <c r="C2" s="169"/>
      <c r="D2" s="169"/>
      <c r="E2" s="166" t="s">
        <v>47</v>
      </c>
      <c r="F2" s="166"/>
      <c r="G2" s="169"/>
      <c r="H2" s="169"/>
    </row>
    <row r="3" spans="1:8" ht="23.45" customHeight="1" x14ac:dyDescent="0.25">
      <c r="A3" s="6" t="s">
        <v>33</v>
      </c>
      <c r="B3" s="169"/>
      <c r="C3" s="169"/>
      <c r="D3" s="169"/>
      <c r="E3" s="169"/>
      <c r="F3" s="169"/>
      <c r="G3" s="169"/>
      <c r="H3" s="169"/>
    </row>
    <row r="4" spans="1:8" x14ac:dyDescent="0.25">
      <c r="A4" s="6" t="s">
        <v>48</v>
      </c>
      <c r="B4" s="169"/>
      <c r="C4" s="169"/>
      <c r="D4" s="6" t="s">
        <v>49</v>
      </c>
      <c r="E4" s="171"/>
      <c r="F4" s="171"/>
      <c r="G4" s="6" t="s">
        <v>50</v>
      </c>
      <c r="H4" s="10"/>
    </row>
    <row r="5" spans="1:8" x14ac:dyDescent="0.25">
      <c r="A5" s="111" t="s">
        <v>51</v>
      </c>
      <c r="B5" s="111"/>
      <c r="C5" s="169"/>
      <c r="D5" s="169"/>
      <c r="E5" s="169"/>
      <c r="F5" s="169"/>
      <c r="G5" s="169"/>
      <c r="H5" s="169"/>
    </row>
    <row r="6" spans="1:8" ht="3.6" customHeight="1" x14ac:dyDescent="0.25">
      <c r="A6" s="170"/>
      <c r="B6" s="170"/>
      <c r="C6" s="170"/>
      <c r="D6" s="170"/>
      <c r="E6" s="170"/>
      <c r="F6" s="170"/>
      <c r="G6" s="170"/>
      <c r="H6" s="170"/>
    </row>
    <row r="7" spans="1:8" ht="30" customHeight="1" x14ac:dyDescent="0.25">
      <c r="A7" s="104" t="s">
        <v>46</v>
      </c>
      <c r="B7" s="169" t="s">
        <v>585</v>
      </c>
      <c r="C7" s="169"/>
      <c r="D7" s="169"/>
      <c r="E7" s="166" t="s">
        <v>47</v>
      </c>
      <c r="F7" s="166"/>
      <c r="G7" s="169"/>
      <c r="H7" s="169"/>
    </row>
    <row r="8" spans="1:8" x14ac:dyDescent="0.25">
      <c r="A8" s="6" t="s">
        <v>33</v>
      </c>
      <c r="B8" s="169"/>
      <c r="C8" s="169"/>
      <c r="D8" s="169"/>
      <c r="E8" s="169"/>
      <c r="F8" s="169"/>
      <c r="G8" s="169"/>
      <c r="H8" s="169"/>
    </row>
    <row r="9" spans="1:8" ht="28.15" customHeight="1" x14ac:dyDescent="0.25">
      <c r="A9" s="6" t="s">
        <v>48</v>
      </c>
      <c r="B9" s="169"/>
      <c r="C9" s="169"/>
      <c r="D9" s="7" t="s">
        <v>49</v>
      </c>
      <c r="E9" s="169"/>
      <c r="F9" s="169"/>
      <c r="G9" s="6" t="s">
        <v>50</v>
      </c>
      <c r="H9" s="10"/>
    </row>
    <row r="10" spans="1:8" ht="24.6" customHeight="1" x14ac:dyDescent="0.25">
      <c r="A10" s="111" t="s">
        <v>51</v>
      </c>
      <c r="B10" s="111"/>
      <c r="C10" s="169"/>
      <c r="D10" s="169"/>
      <c r="E10" s="169"/>
      <c r="F10" s="169"/>
      <c r="G10" s="169"/>
      <c r="H10" s="169"/>
    </row>
    <row r="11" spans="1:8" ht="3" customHeight="1" x14ac:dyDescent="0.25">
      <c r="A11" s="170"/>
      <c r="B11" s="170"/>
      <c r="C11" s="170"/>
      <c r="D11" s="170"/>
      <c r="E11" s="170"/>
      <c r="F11" s="170"/>
      <c r="G11" s="170"/>
      <c r="H11" s="170"/>
    </row>
    <row r="12" spans="1:8" ht="27.6" customHeight="1" x14ac:dyDescent="0.25">
      <c r="A12" s="104" t="s">
        <v>46</v>
      </c>
      <c r="B12" s="169"/>
      <c r="C12" s="169"/>
      <c r="D12" s="169"/>
      <c r="E12" s="166" t="s">
        <v>47</v>
      </c>
      <c r="F12" s="166"/>
      <c r="G12" s="169"/>
      <c r="H12" s="169"/>
    </row>
    <row r="13" spans="1:8" x14ac:dyDescent="0.25">
      <c r="A13" s="6" t="s">
        <v>33</v>
      </c>
      <c r="B13" s="169"/>
      <c r="C13" s="169"/>
      <c r="D13" s="169"/>
      <c r="E13" s="169"/>
      <c r="F13" s="169"/>
      <c r="G13" s="169"/>
      <c r="H13" s="169"/>
    </row>
    <row r="14" spans="1:8" x14ac:dyDescent="0.25">
      <c r="A14" s="6" t="s">
        <v>48</v>
      </c>
      <c r="B14" s="169"/>
      <c r="C14" s="169"/>
      <c r="D14" s="6" t="s">
        <v>49</v>
      </c>
      <c r="E14" s="169"/>
      <c r="F14" s="169"/>
      <c r="G14" s="6" t="s">
        <v>50</v>
      </c>
      <c r="H14" s="10"/>
    </row>
    <row r="15" spans="1:8" x14ac:dyDescent="0.25">
      <c r="A15" s="111" t="s">
        <v>51</v>
      </c>
      <c r="B15" s="111"/>
      <c r="C15" s="169"/>
      <c r="D15" s="169"/>
      <c r="E15" s="169"/>
      <c r="F15" s="169"/>
      <c r="G15" s="169"/>
      <c r="H15" s="169"/>
    </row>
    <row r="16" spans="1:8" x14ac:dyDescent="0.25">
      <c r="A16" s="163" t="s">
        <v>52</v>
      </c>
      <c r="B16" s="163"/>
      <c r="C16" s="163"/>
      <c r="D16" s="163"/>
      <c r="E16" s="163"/>
      <c r="F16" s="163"/>
      <c r="G16" s="163"/>
      <c r="H16" s="163"/>
    </row>
    <row r="17" spans="1:8" x14ac:dyDescent="0.25">
      <c r="A17" s="154" t="s">
        <v>53</v>
      </c>
      <c r="B17" s="154"/>
      <c r="C17" s="154" t="s">
        <v>54</v>
      </c>
      <c r="D17" s="154"/>
      <c r="E17" s="154" t="s">
        <v>49</v>
      </c>
      <c r="F17" s="154"/>
      <c r="G17" s="154" t="s">
        <v>55</v>
      </c>
      <c r="H17" s="154"/>
    </row>
    <row r="18" spans="1:8" x14ac:dyDescent="0.25">
      <c r="A18" s="168"/>
      <c r="B18" s="168"/>
      <c r="C18" s="168"/>
      <c r="D18" s="168"/>
      <c r="E18" s="168"/>
      <c r="F18" s="168"/>
      <c r="G18" s="168"/>
      <c r="H18" s="168"/>
    </row>
    <row r="19" spans="1:8" x14ac:dyDescent="0.25">
      <c r="A19" s="168"/>
      <c r="B19" s="168"/>
      <c r="C19" s="168"/>
      <c r="D19" s="168"/>
      <c r="E19" s="168"/>
      <c r="F19" s="168"/>
      <c r="G19" s="168"/>
      <c r="H19" s="168"/>
    </row>
    <row r="20" spans="1:8" x14ac:dyDescent="0.25">
      <c r="A20" s="168"/>
      <c r="B20" s="168"/>
      <c r="C20" s="168"/>
      <c r="D20" s="168"/>
      <c r="E20" s="168"/>
      <c r="F20" s="168"/>
      <c r="G20" s="168"/>
      <c r="H20" s="168"/>
    </row>
    <row r="21" spans="1:8" x14ac:dyDescent="0.25">
      <c r="A21" s="168"/>
      <c r="B21" s="168"/>
      <c r="C21" s="168"/>
      <c r="D21" s="168"/>
      <c r="E21" s="168"/>
      <c r="F21" s="168"/>
      <c r="G21" s="168"/>
      <c r="H21" s="168"/>
    </row>
    <row r="22" spans="1:8" x14ac:dyDescent="0.25">
      <c r="A22" s="163" t="s">
        <v>56</v>
      </c>
      <c r="B22" s="163"/>
      <c r="C22" s="163"/>
      <c r="D22" s="163"/>
      <c r="E22" s="163"/>
      <c r="F22" s="163"/>
      <c r="G22" s="163"/>
      <c r="H22" s="163"/>
    </row>
    <row r="23" spans="1:8" ht="24" customHeight="1" x14ac:dyDescent="0.25">
      <c r="A23" s="161" t="s">
        <v>57</v>
      </c>
      <c r="B23" s="161"/>
      <c r="C23" s="158"/>
      <c r="D23" s="158"/>
      <c r="E23" s="161" t="s">
        <v>58</v>
      </c>
      <c r="F23" s="161"/>
      <c r="G23" s="158"/>
      <c r="H23" s="158"/>
    </row>
    <row r="24" spans="1:8" ht="24" customHeight="1" x14ac:dyDescent="0.25">
      <c r="A24" s="161" t="s">
        <v>59</v>
      </c>
      <c r="B24" s="161"/>
      <c r="C24" s="158"/>
      <c r="D24" s="158"/>
      <c r="E24" s="161" t="s">
        <v>60</v>
      </c>
      <c r="F24" s="161"/>
      <c r="G24" s="161"/>
      <c r="H24" s="161"/>
    </row>
    <row r="25" spans="1:8" ht="24" customHeight="1" x14ac:dyDescent="0.25">
      <c r="A25" s="161" t="s">
        <v>61</v>
      </c>
      <c r="B25" s="161"/>
      <c r="C25" s="158"/>
      <c r="D25" s="158"/>
      <c r="E25" s="158"/>
      <c r="F25" s="158"/>
      <c r="G25" s="158"/>
      <c r="H25" s="158"/>
    </row>
    <row r="26" spans="1:8" ht="24" customHeight="1" x14ac:dyDescent="0.25">
      <c r="A26" s="166" t="s">
        <v>62</v>
      </c>
      <c r="B26" s="166"/>
      <c r="C26" s="105" t="s">
        <v>64</v>
      </c>
      <c r="D26" s="105" t="s">
        <v>65</v>
      </c>
      <c r="E26" s="129" t="s">
        <v>66</v>
      </c>
      <c r="F26" s="129"/>
      <c r="G26" s="129"/>
      <c r="H26" s="129"/>
    </row>
    <row r="27" spans="1:8" ht="24" customHeight="1" x14ac:dyDescent="0.25">
      <c r="A27" s="167" t="s">
        <v>63</v>
      </c>
      <c r="B27" s="167"/>
      <c r="C27" s="9"/>
      <c r="D27" s="9"/>
      <c r="E27" s="158"/>
      <c r="F27" s="158"/>
      <c r="G27" s="158"/>
      <c r="H27" s="158"/>
    </row>
    <row r="28" spans="1:8" ht="14.45" customHeight="1" x14ac:dyDescent="0.25">
      <c r="A28" s="160"/>
      <c r="B28" s="160"/>
      <c r="C28" s="9"/>
      <c r="D28" s="9"/>
      <c r="E28" s="164" t="s">
        <v>68</v>
      </c>
      <c r="F28" s="164"/>
      <c r="G28" s="164"/>
      <c r="H28" s="165"/>
    </row>
    <row r="29" spans="1:8" x14ac:dyDescent="0.25">
      <c r="A29" s="160"/>
      <c r="B29" s="160"/>
      <c r="C29" s="9"/>
      <c r="D29" s="9"/>
      <c r="E29" s="164"/>
      <c r="F29" s="164"/>
      <c r="G29" s="164"/>
      <c r="H29" s="165"/>
    </row>
    <row r="30" spans="1:8" x14ac:dyDescent="0.25">
      <c r="A30" s="160"/>
      <c r="B30" s="160"/>
      <c r="C30" s="9"/>
      <c r="D30" s="9"/>
      <c r="E30" s="158"/>
      <c r="F30" s="158"/>
      <c r="G30" s="158"/>
      <c r="H30" s="158"/>
    </row>
    <row r="31" spans="1:8" x14ac:dyDescent="0.25">
      <c r="A31" s="160"/>
      <c r="B31" s="160"/>
      <c r="C31" s="9"/>
      <c r="D31" s="9"/>
      <c r="E31" s="158"/>
      <c r="F31" s="158"/>
      <c r="G31" s="158"/>
      <c r="H31" s="158"/>
    </row>
    <row r="32" spans="1:8" x14ac:dyDescent="0.25">
      <c r="A32" s="163" t="s">
        <v>70</v>
      </c>
      <c r="B32" s="163"/>
      <c r="C32" s="163"/>
      <c r="D32" s="163"/>
      <c r="E32" s="163"/>
      <c r="F32" s="163"/>
      <c r="G32" s="163"/>
      <c r="H32" s="163"/>
    </row>
    <row r="33" spans="1:8" x14ac:dyDescent="0.25">
      <c r="A33" s="161" t="s">
        <v>71</v>
      </c>
      <c r="B33" s="161"/>
      <c r="C33" s="161"/>
      <c r="D33" s="161"/>
      <c r="E33" s="161"/>
      <c r="F33" s="161"/>
      <c r="G33" s="161"/>
      <c r="H33" s="106" t="s">
        <v>69</v>
      </c>
    </row>
    <row r="34" spans="1:8" x14ac:dyDescent="0.25">
      <c r="A34" s="161" t="s">
        <v>72</v>
      </c>
      <c r="B34" s="161"/>
      <c r="C34" s="162"/>
      <c r="D34" s="162"/>
      <c r="E34" s="162"/>
      <c r="F34" s="162"/>
      <c r="G34" s="162"/>
      <c r="H34" s="162"/>
    </row>
    <row r="35" spans="1:8" x14ac:dyDescent="0.25">
      <c r="A35" s="161" t="s">
        <v>73</v>
      </c>
      <c r="B35" s="161"/>
      <c r="C35" s="161"/>
      <c r="D35" s="161"/>
      <c r="E35" s="161"/>
      <c r="F35" s="161"/>
      <c r="G35" s="161"/>
      <c r="H35" s="106" t="s">
        <v>69</v>
      </c>
    </row>
    <row r="36" spans="1:8" x14ac:dyDescent="0.25">
      <c r="A36" s="161" t="s">
        <v>74</v>
      </c>
      <c r="B36" s="161"/>
      <c r="C36" s="162"/>
      <c r="D36" s="162"/>
      <c r="E36" s="162"/>
      <c r="F36" s="162"/>
      <c r="G36" s="162"/>
      <c r="H36" s="162"/>
    </row>
    <row r="37" spans="1:8" x14ac:dyDescent="0.25">
      <c r="A37" s="163" t="s">
        <v>75</v>
      </c>
      <c r="B37" s="163"/>
      <c r="C37" s="163"/>
      <c r="D37" s="163"/>
      <c r="E37" s="163"/>
      <c r="F37" s="163"/>
      <c r="G37" s="163"/>
      <c r="H37" s="163"/>
    </row>
    <row r="38" spans="1:8" x14ac:dyDescent="0.25">
      <c r="A38" s="161" t="s">
        <v>32</v>
      </c>
      <c r="B38" s="161"/>
      <c r="C38" s="161" t="s">
        <v>76</v>
      </c>
      <c r="D38" s="161"/>
      <c r="E38" s="161"/>
      <c r="F38" s="161" t="s">
        <v>8</v>
      </c>
      <c r="G38" s="161"/>
      <c r="H38" s="161"/>
    </row>
    <row r="39" spans="1:8" x14ac:dyDescent="0.25">
      <c r="A39" s="162"/>
      <c r="B39" s="162"/>
      <c r="C39" s="162"/>
      <c r="D39" s="162"/>
      <c r="E39" s="162"/>
      <c r="F39" s="162"/>
      <c r="G39" s="162"/>
      <c r="H39" s="162"/>
    </row>
    <row r="40" spans="1:8" x14ac:dyDescent="0.25">
      <c r="A40" s="162"/>
      <c r="B40" s="162"/>
      <c r="C40" s="162"/>
      <c r="D40" s="162"/>
      <c r="E40" s="162"/>
      <c r="F40" s="162"/>
      <c r="G40" s="162"/>
      <c r="H40" s="162"/>
    </row>
    <row r="41" spans="1:8" x14ac:dyDescent="0.25">
      <c r="A41" s="162"/>
      <c r="B41" s="162"/>
      <c r="C41" s="162"/>
      <c r="D41" s="162"/>
      <c r="E41" s="162"/>
      <c r="F41" s="162"/>
      <c r="G41" s="162"/>
      <c r="H41" s="162"/>
    </row>
    <row r="42" spans="1:8" x14ac:dyDescent="0.25">
      <c r="A42" s="162"/>
      <c r="B42" s="162"/>
      <c r="C42" s="162"/>
      <c r="D42" s="162"/>
      <c r="E42" s="162"/>
      <c r="F42" s="162"/>
      <c r="G42" s="162"/>
      <c r="H42" s="162"/>
    </row>
    <row r="43" spans="1:8" x14ac:dyDescent="0.25">
      <c r="A43" s="162"/>
      <c r="B43" s="162"/>
      <c r="C43" s="162"/>
      <c r="D43" s="162"/>
      <c r="E43" s="162"/>
      <c r="F43" s="162"/>
      <c r="G43" s="162"/>
      <c r="H43" s="162"/>
    </row>
    <row r="44" spans="1:8" x14ac:dyDescent="0.25">
      <c r="A44" s="163" t="s">
        <v>77</v>
      </c>
      <c r="B44" s="163"/>
      <c r="C44" s="163"/>
      <c r="D44" s="163"/>
      <c r="E44" s="163"/>
      <c r="F44" s="163"/>
      <c r="G44" s="163"/>
      <c r="H44" s="163"/>
    </row>
    <row r="45" spans="1:8" x14ac:dyDescent="0.25">
      <c r="A45" s="156" t="s">
        <v>78</v>
      </c>
      <c r="B45" s="156"/>
      <c r="C45" s="156"/>
      <c r="D45" s="156"/>
      <c r="E45" s="156"/>
      <c r="F45" s="156"/>
      <c r="G45" s="156"/>
      <c r="H45" s="156"/>
    </row>
    <row r="46" spans="1:8" x14ac:dyDescent="0.25">
      <c r="A46" s="157" t="s">
        <v>32</v>
      </c>
      <c r="B46" s="157"/>
      <c r="C46" s="157" t="s">
        <v>79</v>
      </c>
      <c r="D46" s="157"/>
      <c r="E46" s="157" t="s">
        <v>48</v>
      </c>
      <c r="F46" s="157"/>
      <c r="G46" s="157" t="s">
        <v>80</v>
      </c>
      <c r="H46" s="157"/>
    </row>
    <row r="47" spans="1:8" x14ac:dyDescent="0.25">
      <c r="A47" s="158"/>
      <c r="B47" s="158"/>
      <c r="C47" s="158"/>
      <c r="D47" s="158"/>
      <c r="E47" s="158"/>
      <c r="F47" s="158"/>
      <c r="G47" s="158"/>
      <c r="H47" s="158"/>
    </row>
    <row r="48" spans="1:8" x14ac:dyDescent="0.25">
      <c r="A48" s="158"/>
      <c r="B48" s="158"/>
      <c r="C48" s="158"/>
      <c r="D48" s="158"/>
      <c r="E48" s="158"/>
      <c r="F48" s="158"/>
      <c r="G48" s="158"/>
      <c r="H48" s="158"/>
    </row>
    <row r="49" spans="1:12" x14ac:dyDescent="0.25">
      <c r="A49" s="158"/>
      <c r="B49" s="158"/>
      <c r="C49" s="158"/>
      <c r="D49" s="158"/>
      <c r="E49" s="158"/>
      <c r="F49" s="158"/>
      <c r="G49" s="158"/>
      <c r="H49" s="158"/>
    </row>
    <row r="50" spans="1:12" x14ac:dyDescent="0.25">
      <c r="A50" s="156" t="s">
        <v>81</v>
      </c>
      <c r="B50" s="156"/>
      <c r="C50" s="156"/>
      <c r="D50" s="156"/>
      <c r="E50" s="156"/>
      <c r="F50" s="156"/>
      <c r="G50" s="156"/>
      <c r="H50" s="156"/>
      <c r="L50" s="1"/>
    </row>
    <row r="51" spans="1:12" x14ac:dyDescent="0.25">
      <c r="A51" s="157" t="s">
        <v>32</v>
      </c>
      <c r="B51" s="157"/>
      <c r="C51" s="157" t="s">
        <v>79</v>
      </c>
      <c r="D51" s="157"/>
      <c r="E51" s="157" t="s">
        <v>48</v>
      </c>
      <c r="F51" s="157"/>
      <c r="G51" s="157" t="s">
        <v>80</v>
      </c>
      <c r="H51" s="157"/>
    </row>
    <row r="52" spans="1:12" x14ac:dyDescent="0.25">
      <c r="A52" s="158"/>
      <c r="B52" s="158"/>
      <c r="C52" s="158"/>
      <c r="D52" s="158"/>
      <c r="E52" s="158"/>
      <c r="F52" s="158"/>
      <c r="G52" s="158"/>
      <c r="H52" s="158"/>
    </row>
    <row r="53" spans="1:12" x14ac:dyDescent="0.25">
      <c r="A53" s="159"/>
      <c r="B53" s="159"/>
      <c r="C53" s="159"/>
      <c r="D53" s="159"/>
      <c r="E53" s="159"/>
      <c r="F53" s="159"/>
      <c r="G53" s="159"/>
      <c r="H53" s="159"/>
    </row>
    <row r="54" spans="1:12" x14ac:dyDescent="0.25">
      <c r="A54" s="154" t="s">
        <v>82</v>
      </c>
      <c r="B54" s="154"/>
      <c r="C54" s="154"/>
      <c r="D54" s="154"/>
      <c r="E54" s="155"/>
      <c r="F54" s="155"/>
      <c r="G54" s="155"/>
      <c r="H54" s="155"/>
    </row>
  </sheetData>
  <sheetProtection sheet="1" formatColumns="0"/>
  <mergeCells count="127">
    <mergeCell ref="B7:D7"/>
    <mergeCell ref="E7:F7"/>
    <mergeCell ref="G7:H7"/>
    <mergeCell ref="B8:H8"/>
    <mergeCell ref="B9:C9"/>
    <mergeCell ref="E9:F9"/>
    <mergeCell ref="A10:B10"/>
    <mergeCell ref="C10:H10"/>
    <mergeCell ref="A11:H11"/>
    <mergeCell ref="A48:B48"/>
    <mergeCell ref="C48:D48"/>
    <mergeCell ref="E48:F48"/>
    <mergeCell ref="G48:H48"/>
    <mergeCell ref="A49:B49"/>
    <mergeCell ref="F39:H39"/>
    <mergeCell ref="F40:H40"/>
    <mergeCell ref="F41:H41"/>
    <mergeCell ref="F42:H42"/>
    <mergeCell ref="F43:H43"/>
    <mergeCell ref="C49:D49"/>
    <mergeCell ref="E49:F49"/>
    <mergeCell ref="G49:H49"/>
    <mergeCell ref="A44:H44"/>
    <mergeCell ref="A39:B39"/>
    <mergeCell ref="A40:B40"/>
    <mergeCell ref="A41:B41"/>
    <mergeCell ref="A42:B42"/>
    <mergeCell ref="A43:B43"/>
    <mergeCell ref="C39:E39"/>
    <mergeCell ref="C40:E40"/>
    <mergeCell ref="C41:E41"/>
    <mergeCell ref="C42:E42"/>
    <mergeCell ref="C43:E43"/>
    <mergeCell ref="A6:H6"/>
    <mergeCell ref="A1:H1"/>
    <mergeCell ref="B2:D2"/>
    <mergeCell ref="B3:H3"/>
    <mergeCell ref="G2:H2"/>
    <mergeCell ref="E2:F2"/>
    <mergeCell ref="A5:B5"/>
    <mergeCell ref="C5:H5"/>
    <mergeCell ref="B4:C4"/>
    <mergeCell ref="E4:F4"/>
    <mergeCell ref="A16:H16"/>
    <mergeCell ref="A17:B17"/>
    <mergeCell ref="C17:D17"/>
    <mergeCell ref="E17:F17"/>
    <mergeCell ref="G17:H17"/>
    <mergeCell ref="B12:D12"/>
    <mergeCell ref="G12:H12"/>
    <mergeCell ref="B13:H13"/>
    <mergeCell ref="B14:C14"/>
    <mergeCell ref="E14:F14"/>
    <mergeCell ref="A15:B15"/>
    <mergeCell ref="C15:H15"/>
    <mergeCell ref="E12:F12"/>
    <mergeCell ref="C21:D21"/>
    <mergeCell ref="E21:F21"/>
    <mergeCell ref="G21:H21"/>
    <mergeCell ref="A18:B18"/>
    <mergeCell ref="C18:D18"/>
    <mergeCell ref="E18:F18"/>
    <mergeCell ref="G18:H18"/>
    <mergeCell ref="A19:B19"/>
    <mergeCell ref="C19:D19"/>
    <mergeCell ref="E19:F19"/>
    <mergeCell ref="G19:H19"/>
    <mergeCell ref="A20:B20"/>
    <mergeCell ref="C20:D20"/>
    <mergeCell ref="E20:F20"/>
    <mergeCell ref="G20:H20"/>
    <mergeCell ref="A21:B21"/>
    <mergeCell ref="A22:H22"/>
    <mergeCell ref="A23:B23"/>
    <mergeCell ref="A24:B24"/>
    <mergeCell ref="A25:B25"/>
    <mergeCell ref="A26:B26"/>
    <mergeCell ref="A27:B27"/>
    <mergeCell ref="E23:F23"/>
    <mergeCell ref="E24:H24"/>
    <mergeCell ref="E26:H26"/>
    <mergeCell ref="E25:F25"/>
    <mergeCell ref="G25:H25"/>
    <mergeCell ref="E27:H27"/>
    <mergeCell ref="G23:H23"/>
    <mergeCell ref="A30:B30"/>
    <mergeCell ref="C23:D23"/>
    <mergeCell ref="C24:D24"/>
    <mergeCell ref="C25:D25"/>
    <mergeCell ref="A36:B36"/>
    <mergeCell ref="C36:H36"/>
    <mergeCell ref="A37:H37"/>
    <mergeCell ref="A38:B38"/>
    <mergeCell ref="C38:E38"/>
    <mergeCell ref="F38:H38"/>
    <mergeCell ref="E30:H31"/>
    <mergeCell ref="A32:H32"/>
    <mergeCell ref="A33:G33"/>
    <mergeCell ref="A35:G35"/>
    <mergeCell ref="A34:B34"/>
    <mergeCell ref="C34:H34"/>
    <mergeCell ref="A31:B31"/>
    <mergeCell ref="E28:G29"/>
    <mergeCell ref="H28:H29"/>
    <mergeCell ref="A28:B28"/>
    <mergeCell ref="A29:B29"/>
    <mergeCell ref="A45:H45"/>
    <mergeCell ref="A46:B46"/>
    <mergeCell ref="C46:D46"/>
    <mergeCell ref="E46:F46"/>
    <mergeCell ref="G46:H46"/>
    <mergeCell ref="A47:B47"/>
    <mergeCell ref="C47:D47"/>
    <mergeCell ref="E47:F47"/>
    <mergeCell ref="G47:H47"/>
    <mergeCell ref="A54:D54"/>
    <mergeCell ref="E54:H54"/>
    <mergeCell ref="A50:H50"/>
    <mergeCell ref="A51:B51"/>
    <mergeCell ref="C51:D51"/>
    <mergeCell ref="E51:F51"/>
    <mergeCell ref="G51:H51"/>
    <mergeCell ref="A52:B52"/>
    <mergeCell ref="C52:D52"/>
    <mergeCell ref="E52:F52"/>
    <mergeCell ref="G52:H52"/>
    <mergeCell ref="A53:H53"/>
  </mergeCells>
  <dataValidations count="3">
    <dataValidation type="list" allowBlank="1" showInputMessage="1" showErrorMessage="1" sqref="C27:D31" xr:uid="{C34EFDF0-B874-46A3-8B4E-4DD883041CF5}">
      <formula1>"1,2,3,4,5"</formula1>
    </dataValidation>
    <dataValidation type="list" allowBlank="1" showInputMessage="1" showErrorMessage="1" sqref="H35 H33" xr:uid="{5BF3220F-ADB2-4524-8F09-7F82A05BF263}">
      <formula1>"YES,NO"</formula1>
    </dataValidation>
    <dataValidation type="list" allowBlank="1" showInputMessage="1" showErrorMessage="1" sqref="H28:H29" xr:uid="{7A7E2ABB-07AC-4780-9380-ED30645B4EAA}">
      <formula1>"Yes,No"</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C1F5-9A9A-488D-B40A-7212CE23BC51}">
  <sheetPr codeName="Sheet4">
    <tabColor rgb="FF00B050"/>
  </sheetPr>
  <dimension ref="A1:H37"/>
  <sheetViews>
    <sheetView showGridLines="0" zoomScaleNormal="100" workbookViewId="0">
      <selection activeCell="A3" sqref="A3:H24"/>
    </sheetView>
  </sheetViews>
  <sheetFormatPr defaultRowHeight="15" x14ac:dyDescent="0.25"/>
  <cols>
    <col min="1" max="8" width="10.7109375" customWidth="1"/>
  </cols>
  <sheetData>
    <row r="1" spans="1:8" x14ac:dyDescent="0.25">
      <c r="A1" s="163" t="s">
        <v>83</v>
      </c>
      <c r="B1" s="163"/>
      <c r="C1" s="163"/>
      <c r="D1" s="163"/>
      <c r="E1" s="163"/>
      <c r="F1" s="163"/>
      <c r="G1" s="163"/>
      <c r="H1" s="163"/>
    </row>
    <row r="2" spans="1:8" ht="45" customHeight="1" x14ac:dyDescent="0.25">
      <c r="A2" s="174" t="s">
        <v>417</v>
      </c>
      <c r="B2" s="174"/>
      <c r="C2" s="174"/>
      <c r="D2" s="174"/>
      <c r="E2" s="174"/>
      <c r="F2" s="174"/>
      <c r="G2" s="174"/>
      <c r="H2" s="174"/>
    </row>
    <row r="3" spans="1:8" ht="15" customHeight="1" x14ac:dyDescent="0.25">
      <c r="A3" s="113"/>
      <c r="B3" s="113"/>
      <c r="C3" s="113"/>
      <c r="D3" s="113"/>
      <c r="E3" s="113"/>
      <c r="F3" s="113"/>
      <c r="G3" s="113"/>
      <c r="H3" s="113"/>
    </row>
    <row r="4" spans="1:8" x14ac:dyDescent="0.25">
      <c r="A4" s="113"/>
      <c r="B4" s="113"/>
      <c r="C4" s="113"/>
      <c r="D4" s="113"/>
      <c r="E4" s="113"/>
      <c r="F4" s="113"/>
      <c r="G4" s="113"/>
      <c r="H4" s="113"/>
    </row>
    <row r="5" spans="1:8" x14ac:dyDescent="0.25">
      <c r="A5" s="113"/>
      <c r="B5" s="113"/>
      <c r="C5" s="113"/>
      <c r="D5" s="113"/>
      <c r="E5" s="113"/>
      <c r="F5" s="113"/>
      <c r="G5" s="113"/>
      <c r="H5" s="113"/>
    </row>
    <row r="6" spans="1:8" x14ac:dyDescent="0.25">
      <c r="A6" s="113"/>
      <c r="B6" s="113"/>
      <c r="C6" s="113"/>
      <c r="D6" s="113"/>
      <c r="E6" s="113"/>
      <c r="F6" s="113"/>
      <c r="G6" s="113"/>
      <c r="H6" s="113"/>
    </row>
    <row r="7" spans="1:8" x14ac:dyDescent="0.25">
      <c r="A7" s="113"/>
      <c r="B7" s="113"/>
      <c r="C7" s="113"/>
      <c r="D7" s="113"/>
      <c r="E7" s="113"/>
      <c r="F7" s="113"/>
      <c r="G7" s="113"/>
      <c r="H7" s="113"/>
    </row>
    <row r="8" spans="1:8" x14ac:dyDescent="0.25">
      <c r="A8" s="113"/>
      <c r="B8" s="113"/>
      <c r="C8" s="113"/>
      <c r="D8" s="113"/>
      <c r="E8" s="113"/>
      <c r="F8" s="113"/>
      <c r="G8" s="113"/>
      <c r="H8" s="113"/>
    </row>
    <row r="9" spans="1:8" x14ac:dyDescent="0.25">
      <c r="A9" s="113"/>
      <c r="B9" s="113"/>
      <c r="C9" s="113"/>
      <c r="D9" s="113"/>
      <c r="E9" s="113"/>
      <c r="F9" s="113"/>
      <c r="G9" s="113"/>
      <c r="H9" s="113"/>
    </row>
    <row r="10" spans="1:8" x14ac:dyDescent="0.25">
      <c r="A10" s="113"/>
      <c r="B10" s="113"/>
      <c r="C10" s="113"/>
      <c r="D10" s="113"/>
      <c r="E10" s="113"/>
      <c r="F10" s="113"/>
      <c r="G10" s="113"/>
      <c r="H10" s="113"/>
    </row>
    <row r="11" spans="1:8" x14ac:dyDescent="0.25">
      <c r="A11" s="113"/>
      <c r="B11" s="113"/>
      <c r="C11" s="113"/>
      <c r="D11" s="113"/>
      <c r="E11" s="113"/>
      <c r="F11" s="113"/>
      <c r="G11" s="113"/>
      <c r="H11" s="113"/>
    </row>
    <row r="12" spans="1:8" x14ac:dyDescent="0.25">
      <c r="A12" s="113"/>
      <c r="B12" s="113"/>
      <c r="C12" s="113"/>
      <c r="D12" s="113"/>
      <c r="E12" s="113"/>
      <c r="F12" s="113"/>
      <c r="G12" s="113"/>
      <c r="H12" s="113"/>
    </row>
    <row r="13" spans="1:8" x14ac:dyDescent="0.25">
      <c r="A13" s="113"/>
      <c r="B13" s="113"/>
      <c r="C13" s="113"/>
      <c r="D13" s="113"/>
      <c r="E13" s="113"/>
      <c r="F13" s="113"/>
      <c r="G13" s="113"/>
      <c r="H13" s="113"/>
    </row>
    <row r="14" spans="1:8" x14ac:dyDescent="0.25">
      <c r="A14" s="113"/>
      <c r="B14" s="113"/>
      <c r="C14" s="113"/>
      <c r="D14" s="113"/>
      <c r="E14" s="113"/>
      <c r="F14" s="113"/>
      <c r="G14" s="113"/>
      <c r="H14" s="113"/>
    </row>
    <row r="15" spans="1:8" x14ac:dyDescent="0.25">
      <c r="A15" s="113"/>
      <c r="B15" s="113"/>
      <c r="C15" s="113"/>
      <c r="D15" s="113"/>
      <c r="E15" s="113"/>
      <c r="F15" s="113"/>
      <c r="G15" s="113"/>
      <c r="H15" s="113"/>
    </row>
    <row r="16" spans="1:8" x14ac:dyDescent="0.25">
      <c r="A16" s="113"/>
      <c r="B16" s="113"/>
      <c r="C16" s="113"/>
      <c r="D16" s="113"/>
      <c r="E16" s="113"/>
      <c r="F16" s="113"/>
      <c r="G16" s="113"/>
      <c r="H16" s="113"/>
    </row>
    <row r="17" spans="1:8" ht="33.6" customHeight="1" x14ac:dyDescent="0.25">
      <c r="A17" s="113"/>
      <c r="B17" s="113"/>
      <c r="C17" s="113"/>
      <c r="D17" s="113"/>
      <c r="E17" s="113"/>
      <c r="F17" s="113"/>
      <c r="G17" s="113"/>
      <c r="H17" s="113"/>
    </row>
    <row r="18" spans="1:8" x14ac:dyDescent="0.25">
      <c r="A18" s="113"/>
      <c r="B18" s="113"/>
      <c r="C18" s="113"/>
      <c r="D18" s="113"/>
      <c r="E18" s="113"/>
      <c r="F18" s="113"/>
      <c r="G18" s="113"/>
      <c r="H18" s="113"/>
    </row>
    <row r="19" spans="1:8" x14ac:dyDescent="0.25">
      <c r="A19" s="113"/>
      <c r="B19" s="113"/>
      <c r="C19" s="113"/>
      <c r="D19" s="113"/>
      <c r="E19" s="113"/>
      <c r="F19" s="113"/>
      <c r="G19" s="113"/>
      <c r="H19" s="113"/>
    </row>
    <row r="20" spans="1:8" x14ac:dyDescent="0.25">
      <c r="A20" s="113"/>
      <c r="B20" s="113"/>
      <c r="C20" s="113"/>
      <c r="D20" s="113"/>
      <c r="E20" s="113"/>
      <c r="F20" s="113"/>
      <c r="G20" s="113"/>
      <c r="H20" s="113"/>
    </row>
    <row r="21" spans="1:8" x14ac:dyDescent="0.25">
      <c r="A21" s="113"/>
      <c r="B21" s="113"/>
      <c r="C21" s="113"/>
      <c r="D21" s="113"/>
      <c r="E21" s="113"/>
      <c r="F21" s="113"/>
      <c r="G21" s="113"/>
      <c r="H21" s="113"/>
    </row>
    <row r="22" spans="1:8" x14ac:dyDescent="0.25">
      <c r="A22" s="113"/>
      <c r="B22" s="113"/>
      <c r="C22" s="113"/>
      <c r="D22" s="113"/>
      <c r="E22" s="113"/>
      <c r="F22" s="113"/>
      <c r="G22" s="113"/>
      <c r="H22" s="113"/>
    </row>
    <row r="23" spans="1:8" x14ac:dyDescent="0.25">
      <c r="A23" s="113"/>
      <c r="B23" s="113"/>
      <c r="C23" s="113"/>
      <c r="D23" s="113"/>
      <c r="E23" s="113"/>
      <c r="F23" s="113"/>
      <c r="G23" s="113"/>
      <c r="H23" s="113"/>
    </row>
    <row r="24" spans="1:8" x14ac:dyDescent="0.25">
      <c r="A24" s="113"/>
      <c r="B24" s="113"/>
      <c r="C24" s="113"/>
      <c r="D24" s="113"/>
      <c r="E24" s="113"/>
      <c r="F24" s="113"/>
      <c r="G24" s="113"/>
      <c r="H24" s="113"/>
    </row>
    <row r="25" spans="1:8" ht="15" hidden="1" customHeight="1" x14ac:dyDescent="0.25">
      <c r="A25" s="173" t="s">
        <v>70</v>
      </c>
      <c r="B25" s="173"/>
      <c r="C25" s="173"/>
      <c r="D25" s="173"/>
      <c r="E25" s="173"/>
      <c r="F25" s="173"/>
      <c r="G25" s="173"/>
      <c r="H25" s="173"/>
    </row>
    <row r="26" spans="1:8" ht="15" hidden="1" customHeight="1" x14ac:dyDescent="0.25">
      <c r="A26" s="172" t="s">
        <v>71</v>
      </c>
      <c r="B26" s="172"/>
      <c r="C26" s="172"/>
      <c r="D26" s="172"/>
      <c r="E26" s="172"/>
      <c r="F26" s="172"/>
      <c r="G26" s="172"/>
      <c r="H26" s="3" t="s">
        <v>69</v>
      </c>
    </row>
    <row r="27" spans="1:8" ht="15" hidden="1" customHeight="1" x14ac:dyDescent="0.25">
      <c r="A27" s="172" t="s">
        <v>72</v>
      </c>
      <c r="B27" s="172"/>
      <c r="C27" s="172"/>
      <c r="D27" s="172"/>
      <c r="E27" s="172"/>
      <c r="F27" s="172"/>
      <c r="G27" s="172"/>
      <c r="H27" s="172"/>
    </row>
    <row r="28" spans="1:8" ht="15" hidden="1" customHeight="1" x14ac:dyDescent="0.25">
      <c r="A28" s="172" t="s">
        <v>171</v>
      </c>
      <c r="B28" s="172"/>
      <c r="C28" s="172"/>
      <c r="D28" s="172"/>
      <c r="E28" s="160"/>
      <c r="F28" s="160"/>
      <c r="G28" s="160"/>
      <c r="H28" s="160"/>
    </row>
    <row r="29" spans="1:8" ht="15" hidden="1" customHeight="1" x14ac:dyDescent="0.25">
      <c r="A29" s="172" t="s">
        <v>73</v>
      </c>
      <c r="B29" s="172"/>
      <c r="C29" s="172"/>
      <c r="D29" s="172"/>
      <c r="E29" s="172"/>
      <c r="F29" s="172"/>
      <c r="G29" s="172"/>
      <c r="H29" s="3" t="s">
        <v>69</v>
      </c>
    </row>
    <row r="30" spans="1:8" ht="15" hidden="1" customHeight="1" x14ac:dyDescent="0.25">
      <c r="A30" s="172" t="s">
        <v>74</v>
      </c>
      <c r="B30" s="172"/>
      <c r="C30" s="172"/>
      <c r="D30" s="172"/>
      <c r="E30" s="172"/>
      <c r="F30" s="172"/>
      <c r="G30" s="172"/>
      <c r="H30" s="172"/>
    </row>
    <row r="31" spans="1:8" ht="15" hidden="1" customHeight="1" x14ac:dyDescent="0.25">
      <c r="A31" s="173" t="s">
        <v>75</v>
      </c>
      <c r="B31" s="173"/>
      <c r="C31" s="173"/>
      <c r="D31" s="173"/>
      <c r="E31" s="173"/>
      <c r="F31" s="173"/>
      <c r="G31" s="173"/>
      <c r="H31" s="173"/>
    </row>
    <row r="32" spans="1:8" ht="15" hidden="1" customHeight="1" x14ac:dyDescent="0.25">
      <c r="A32" s="172" t="s">
        <v>32</v>
      </c>
      <c r="B32" s="172"/>
      <c r="C32" s="172" t="s">
        <v>76</v>
      </c>
      <c r="D32" s="172"/>
      <c r="E32" s="172"/>
      <c r="F32" s="172" t="s">
        <v>8</v>
      </c>
      <c r="G32" s="172"/>
      <c r="H32" s="172"/>
    </row>
    <row r="33" spans="1:8" ht="15" hidden="1" customHeight="1" x14ac:dyDescent="0.25">
      <c r="A33" s="172"/>
      <c r="B33" s="172"/>
      <c r="C33" s="172"/>
      <c r="D33" s="172"/>
      <c r="E33" s="172"/>
      <c r="F33" s="172"/>
      <c r="G33" s="172"/>
      <c r="H33" s="172"/>
    </row>
    <row r="34" spans="1:8" ht="15" hidden="1" customHeight="1" x14ac:dyDescent="0.25">
      <c r="A34" s="172"/>
      <c r="B34" s="172"/>
      <c r="C34" s="172"/>
      <c r="D34" s="172"/>
      <c r="E34" s="172"/>
      <c r="F34" s="172"/>
      <c r="G34" s="172"/>
      <c r="H34" s="172"/>
    </row>
    <row r="35" spans="1:8" ht="15" hidden="1" customHeight="1" x14ac:dyDescent="0.25">
      <c r="A35" s="172"/>
      <c r="B35" s="172"/>
      <c r="C35" s="172"/>
      <c r="D35" s="172"/>
      <c r="E35" s="172"/>
      <c r="F35" s="172"/>
      <c r="G35" s="172"/>
      <c r="H35" s="172"/>
    </row>
    <row r="36" spans="1:8" ht="15" hidden="1" customHeight="1" x14ac:dyDescent="0.25">
      <c r="A36" s="172"/>
      <c r="B36" s="172"/>
      <c r="C36" s="172"/>
      <c r="D36" s="172"/>
      <c r="E36" s="172"/>
      <c r="F36" s="172"/>
      <c r="G36" s="172"/>
      <c r="H36" s="172"/>
    </row>
    <row r="37" spans="1:8" ht="15" hidden="1" customHeight="1" x14ac:dyDescent="0.25">
      <c r="A37" s="172"/>
      <c r="B37" s="172"/>
      <c r="C37" s="172"/>
      <c r="D37" s="172"/>
      <c r="E37" s="172"/>
      <c r="F37" s="172"/>
      <c r="G37" s="172"/>
      <c r="H37" s="172"/>
    </row>
  </sheetData>
  <sheetProtection sheet="1" formatColumns="0"/>
  <mergeCells count="31">
    <mergeCell ref="A37:B37"/>
    <mergeCell ref="C37:E37"/>
    <mergeCell ref="F37:H37"/>
    <mergeCell ref="A33:B33"/>
    <mergeCell ref="C33:E33"/>
    <mergeCell ref="F33:H33"/>
    <mergeCell ref="A34:B34"/>
    <mergeCell ref="C34:E34"/>
    <mergeCell ref="F34:H34"/>
    <mergeCell ref="C35:E35"/>
    <mergeCell ref="F35:H35"/>
    <mergeCell ref="A36:B36"/>
    <mergeCell ref="C36:E36"/>
    <mergeCell ref="F36:H36"/>
    <mergeCell ref="A35:B35"/>
    <mergeCell ref="A27:B27"/>
    <mergeCell ref="C27:H27"/>
    <mergeCell ref="A28:D28"/>
    <mergeCell ref="E28:H28"/>
    <mergeCell ref="A1:H1"/>
    <mergeCell ref="A2:H2"/>
    <mergeCell ref="A3:H24"/>
    <mergeCell ref="A25:H25"/>
    <mergeCell ref="A26:G26"/>
    <mergeCell ref="A29:G29"/>
    <mergeCell ref="A30:B30"/>
    <mergeCell ref="C30:H30"/>
    <mergeCell ref="A31:H31"/>
    <mergeCell ref="A32:B32"/>
    <mergeCell ref="C32:E32"/>
    <mergeCell ref="F32:H3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BCDD6-1818-4D42-8E8A-C6F08D7FB691}">
  <sheetPr>
    <tabColor rgb="FF00B050"/>
  </sheetPr>
  <dimension ref="A1:B26"/>
  <sheetViews>
    <sheetView showGridLines="0" workbookViewId="0">
      <selection sqref="A1:B1"/>
    </sheetView>
  </sheetViews>
  <sheetFormatPr defaultRowHeight="15" x14ac:dyDescent="0.25"/>
  <cols>
    <col min="1" max="1" width="33.42578125" customWidth="1"/>
    <col min="2" max="2" width="62.140625" customWidth="1"/>
  </cols>
  <sheetData>
    <row r="1" spans="1:2" x14ac:dyDescent="0.25">
      <c r="A1" s="175" t="s">
        <v>540</v>
      </c>
      <c r="B1" s="176"/>
    </row>
    <row r="2" spans="1:2" x14ac:dyDescent="0.25">
      <c r="A2" s="85" t="s">
        <v>173</v>
      </c>
      <c r="B2" s="86"/>
    </row>
    <row r="3" spans="1:2" x14ac:dyDescent="0.25">
      <c r="A3" s="85" t="s">
        <v>174</v>
      </c>
      <c r="B3" s="87"/>
    </row>
    <row r="4" spans="1:2" x14ac:dyDescent="0.25">
      <c r="A4" s="85" t="s">
        <v>175</v>
      </c>
      <c r="B4" s="88"/>
    </row>
    <row r="5" spans="1:2" x14ac:dyDescent="0.25">
      <c r="A5" s="85" t="s">
        <v>177</v>
      </c>
      <c r="B5" s="88"/>
    </row>
    <row r="6" spans="1:2" x14ac:dyDescent="0.25">
      <c r="A6" s="85" t="s">
        <v>178</v>
      </c>
      <c r="B6" s="88"/>
    </row>
    <row r="7" spans="1:2" x14ac:dyDescent="0.25">
      <c r="A7" s="85" t="s">
        <v>511</v>
      </c>
      <c r="B7" s="86"/>
    </row>
    <row r="8" spans="1:2" x14ac:dyDescent="0.25">
      <c r="A8" s="85" t="s">
        <v>180</v>
      </c>
      <c r="B8" s="87"/>
    </row>
    <row r="9" spans="1:2" x14ac:dyDescent="0.25">
      <c r="A9" s="85" t="s">
        <v>181</v>
      </c>
      <c r="B9" s="87"/>
    </row>
    <row r="10" spans="1:2" x14ac:dyDescent="0.25">
      <c r="A10" s="85" t="s">
        <v>182</v>
      </c>
      <c r="B10" s="87"/>
    </row>
    <row r="11" spans="1:2" x14ac:dyDescent="0.25">
      <c r="A11" s="85" t="s">
        <v>183</v>
      </c>
      <c r="B11" s="86"/>
    </row>
    <row r="12" spans="1:2" x14ac:dyDescent="0.25">
      <c r="A12" s="85" t="s">
        <v>184</v>
      </c>
      <c r="B12" s="86"/>
    </row>
    <row r="13" spans="1:2" x14ac:dyDescent="0.25">
      <c r="A13" s="85" t="s">
        <v>185</v>
      </c>
      <c r="B13" s="86"/>
    </row>
    <row r="14" spans="1:2" x14ac:dyDescent="0.25">
      <c r="A14" s="85" t="s">
        <v>186</v>
      </c>
      <c r="B14" s="87"/>
    </row>
    <row r="15" spans="1:2" x14ac:dyDescent="0.25">
      <c r="A15" s="85" t="s">
        <v>187</v>
      </c>
      <c r="B15" s="86"/>
    </row>
    <row r="16" spans="1:2" x14ac:dyDescent="0.25">
      <c r="A16" s="85" t="s">
        <v>188</v>
      </c>
      <c r="B16" s="87"/>
    </row>
    <row r="17" spans="1:2" x14ac:dyDescent="0.25">
      <c r="A17" s="85" t="s">
        <v>189</v>
      </c>
      <c r="B17" s="87"/>
    </row>
    <row r="18" spans="1:2" x14ac:dyDescent="0.25">
      <c r="A18" s="85" t="s">
        <v>372</v>
      </c>
      <c r="B18" s="87"/>
    </row>
    <row r="19" spans="1:2" x14ac:dyDescent="0.25">
      <c r="A19" s="85" t="s">
        <v>369</v>
      </c>
      <c r="B19" s="86"/>
    </row>
    <row r="20" spans="1:2" x14ac:dyDescent="0.25">
      <c r="A20" s="89" t="str">
        <f>IF($B19="NO", "Mode of Transportation*","-")</f>
        <v>-</v>
      </c>
      <c r="B20" s="86"/>
    </row>
    <row r="21" spans="1:2" x14ac:dyDescent="0.25">
      <c r="A21" s="85" t="str">
        <f>IF($B19="NO","Number of Vehicles*","--")</f>
        <v>--</v>
      </c>
      <c r="B21" s="87"/>
    </row>
    <row r="22" spans="1:2" x14ac:dyDescent="0.25">
      <c r="A22" s="85" t="s">
        <v>190</v>
      </c>
      <c r="B22" s="86"/>
    </row>
    <row r="23" spans="1:2" x14ac:dyDescent="0.25">
      <c r="A23" s="89" t="str">
        <f>IF(B22="YES","Valid US Visa*","")</f>
        <v/>
      </c>
      <c r="B23" s="86"/>
    </row>
    <row r="24" spans="1:2" x14ac:dyDescent="0.25">
      <c r="A24" s="89" t="str">
        <f>IF(B22="YES","Former OFW*","")</f>
        <v/>
      </c>
      <c r="B24" s="86"/>
    </row>
    <row r="25" spans="1:2" hidden="1" x14ac:dyDescent="0.25">
      <c r="A25" s="85" t="s">
        <v>191</v>
      </c>
      <c r="B25" s="99">
        <f>'Personal Information'!C20</f>
        <v>0</v>
      </c>
    </row>
    <row r="26" spans="1:2" ht="15.75" hidden="1" thickBot="1" x14ac:dyDescent="0.3">
      <c r="A26" s="90" t="s">
        <v>192</v>
      </c>
      <c r="B26" s="100">
        <f>'Personal Information'!C21</f>
        <v>0</v>
      </c>
    </row>
  </sheetData>
  <sheetProtection sheet="1" insertColumns="0"/>
  <mergeCells count="1">
    <mergeCell ref="A1:B1"/>
  </mergeCells>
  <dataValidations count="10">
    <dataValidation type="date" allowBlank="1" showInputMessage="1" showErrorMessage="1" sqref="B4" xr:uid="{78E32635-9778-4089-B1DC-357B1A50F7B8}">
      <formula1>44197</formula1>
      <formula2>46022</formula2>
    </dataValidation>
    <dataValidation type="list" allowBlank="1" showInputMessage="1" showErrorMessage="1" sqref="B3 B8" xr:uid="{59CC6CCB-F6A6-4CA6-AAED-9BE5635D2FCE}">
      <formula1>Number</formula1>
    </dataValidation>
    <dataValidation type="list" allowBlank="1" showInputMessage="1" showErrorMessage="1" sqref="B2 B19 B11:B13 B7 B23:B24" xr:uid="{CE362ED5-A497-4667-A980-6091CA66A401}">
      <formula1>YESNO</formula1>
    </dataValidation>
    <dataValidation type="list" allowBlank="1" showInputMessage="1" showErrorMessage="1" sqref="B14" xr:uid="{8302F8AC-E4F8-48D0-9185-75A20AF98FC8}">
      <formula1>Degree</formula1>
    </dataValidation>
    <dataValidation type="list" allowBlank="1" showInputMessage="1" showErrorMessage="1" sqref="B9" xr:uid="{AF715614-9ED0-41B5-9222-40870E6E9498}">
      <formula1>Reason</formula1>
    </dataValidation>
    <dataValidation type="list" allowBlank="1" showInputMessage="1" showErrorMessage="1" sqref="B15" xr:uid="{6DC9914C-F6C5-4705-BBE7-B3CB4B1A79D8}">
      <formula1>Course</formula1>
    </dataValidation>
    <dataValidation type="list" allowBlank="1" showInputMessage="1" showErrorMessage="1" sqref="B17" xr:uid="{2B2A9622-FECB-4CE5-9696-D06AD9774FDC}">
      <formula1>Choosing</formula1>
    </dataValidation>
    <dataValidation type="list" allowBlank="1" showInputMessage="1" showErrorMessage="1" sqref="B20" xr:uid="{F4459502-7331-4977-BACB-9F36B774B6A0}">
      <formula1>Transpo</formula1>
    </dataValidation>
    <dataValidation type="date" allowBlank="1" showInputMessage="1" showErrorMessage="1" sqref="B5:B6" xr:uid="{7857FA3C-6A9A-46CC-8051-D74668427AD2}">
      <formula1>36526</formula1>
      <formula2>46022</formula2>
    </dataValidation>
    <dataValidation type="list" allowBlank="1" showInputMessage="1" showErrorMessage="1" sqref="B22" xr:uid="{DF8FADB6-3245-4EEF-9F01-B409D90E986C}">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7AB1-F124-499D-AAB5-8DE905AB5253}">
  <sheetPr codeName="Sheet11"/>
  <dimension ref="A1:AF342"/>
  <sheetViews>
    <sheetView topLeftCell="V317" workbookViewId="0">
      <selection activeCell="AC342" sqref="AC342"/>
    </sheetView>
  </sheetViews>
  <sheetFormatPr defaultRowHeight="15" x14ac:dyDescent="0.25"/>
  <cols>
    <col min="1" max="1" width="32.7109375" style="61" bestFit="1" customWidth="1"/>
    <col min="2" max="2" width="30.42578125" style="61" bestFit="1" customWidth="1"/>
    <col min="3" max="3" width="8.85546875" style="61" bestFit="1" customWidth="1"/>
    <col min="4" max="4" width="19.28515625" style="61" bestFit="1" customWidth="1"/>
    <col min="5" max="5" width="9.140625" style="61"/>
    <col min="6" max="6" width="28.5703125" style="61" bestFit="1" customWidth="1"/>
    <col min="7" max="7" width="23.42578125" style="61" bestFit="1" customWidth="1"/>
    <col min="8" max="8" width="59.85546875" style="61" bestFit="1" customWidth="1"/>
    <col min="9" max="9" width="37.28515625" style="61" bestFit="1" customWidth="1"/>
    <col min="10" max="10" width="18.85546875" style="61" bestFit="1" customWidth="1"/>
    <col min="11" max="11" width="23.28515625" style="61" bestFit="1" customWidth="1"/>
    <col min="12" max="12" width="15.140625" style="61" bestFit="1" customWidth="1"/>
    <col min="13" max="13" width="25.85546875" style="61" bestFit="1" customWidth="1"/>
    <col min="14" max="14" width="47.42578125" style="61" bestFit="1" customWidth="1"/>
    <col min="15" max="15" width="24.42578125" style="61" bestFit="1" customWidth="1"/>
    <col min="16" max="16" width="8.5703125" style="61" bestFit="1" customWidth="1"/>
    <col min="17" max="17" width="12.5703125" style="61" bestFit="1" customWidth="1"/>
    <col min="18" max="18" width="36.42578125" style="61" bestFit="1" customWidth="1"/>
    <col min="19" max="19" width="29.28515625" style="61" bestFit="1" customWidth="1"/>
    <col min="20" max="20" width="26.28515625" style="61" bestFit="1" customWidth="1"/>
    <col min="21" max="21" width="30.42578125" style="61" bestFit="1" customWidth="1"/>
    <col min="22" max="22" width="11.140625" style="61" bestFit="1" customWidth="1"/>
    <col min="23" max="23" width="6.28515625" style="61" bestFit="1" customWidth="1"/>
    <col min="24" max="24" width="28.7109375" style="61" bestFit="1" customWidth="1"/>
    <col min="25" max="25" width="10.85546875" style="61" bestFit="1" customWidth="1"/>
    <col min="26" max="26" width="9.140625" style="61"/>
    <col min="27" max="27" width="4" style="61" bestFit="1" customWidth="1"/>
    <col min="28" max="28" width="5" style="61" bestFit="1" customWidth="1"/>
    <col min="29" max="29" width="184.5703125" style="61" bestFit="1" customWidth="1"/>
    <col min="30" max="16384" width="9.140625" style="61"/>
  </cols>
  <sheetData>
    <row r="1" spans="1:32" ht="15" customHeight="1" x14ac:dyDescent="0.25">
      <c r="A1" s="57" t="s">
        <v>160</v>
      </c>
      <c r="B1" s="58" t="s">
        <v>211</v>
      </c>
      <c r="C1" s="58" t="s">
        <v>212</v>
      </c>
      <c r="D1" s="58" t="s">
        <v>213</v>
      </c>
      <c r="E1" s="59" t="s">
        <v>214</v>
      </c>
      <c r="F1" s="58" t="s">
        <v>215</v>
      </c>
      <c r="G1" s="57" t="s">
        <v>186</v>
      </c>
      <c r="H1" s="58" t="s">
        <v>187</v>
      </c>
      <c r="I1" s="60" t="s">
        <v>189</v>
      </c>
      <c r="J1" s="61" t="s">
        <v>369</v>
      </c>
      <c r="K1" s="61" t="s">
        <v>498</v>
      </c>
      <c r="L1" s="61" t="s">
        <v>370</v>
      </c>
      <c r="M1" s="61" t="s">
        <v>200</v>
      </c>
      <c r="N1" s="61" t="s">
        <v>568</v>
      </c>
      <c r="O1" s="61" t="s">
        <v>394</v>
      </c>
      <c r="P1" s="60" t="s">
        <v>569</v>
      </c>
      <c r="Q1" s="61" t="s">
        <v>402</v>
      </c>
      <c r="R1" s="61" t="s">
        <v>406</v>
      </c>
      <c r="S1" s="61" t="s">
        <v>410</v>
      </c>
      <c r="T1" s="61" t="s">
        <v>415</v>
      </c>
      <c r="U1" s="61" t="s">
        <v>508</v>
      </c>
      <c r="V1" s="61" t="s">
        <v>510</v>
      </c>
      <c r="W1" s="61" t="s">
        <v>517</v>
      </c>
      <c r="X1" s="61" t="s">
        <v>181</v>
      </c>
      <c r="Y1" s="60" t="s">
        <v>539</v>
      </c>
      <c r="AA1" s="61">
        <f>AB1</f>
        <v>286</v>
      </c>
      <c r="AB1" s="61">
        <f>RIGHT(AC1,3)*1</f>
        <v>286</v>
      </c>
      <c r="AC1" s="61" t="s">
        <v>427</v>
      </c>
      <c r="AF1" s="61" t="s">
        <v>497</v>
      </c>
    </row>
    <row r="2" spans="1:32" ht="60" x14ac:dyDescent="0.25">
      <c r="A2" s="59" t="s">
        <v>248</v>
      </c>
      <c r="B2" s="62" t="s">
        <v>291</v>
      </c>
      <c r="C2" s="59" t="s">
        <v>554</v>
      </c>
      <c r="D2" s="59" t="s">
        <v>547</v>
      </c>
      <c r="E2" s="59">
        <v>0</v>
      </c>
      <c r="F2" s="59">
        <v>0</v>
      </c>
      <c r="G2" s="59" t="s">
        <v>216</v>
      </c>
      <c r="H2" s="59" t="s">
        <v>317</v>
      </c>
      <c r="I2" s="63" t="s">
        <v>358</v>
      </c>
      <c r="J2" s="59" t="s">
        <v>547</v>
      </c>
      <c r="K2" s="61" t="s">
        <v>499</v>
      </c>
      <c r="L2" s="59" t="s">
        <v>547</v>
      </c>
      <c r="M2" s="64" t="s">
        <v>373</v>
      </c>
      <c r="N2" s="61" t="s">
        <v>377</v>
      </c>
      <c r="O2" s="64" t="s">
        <v>395</v>
      </c>
      <c r="P2" s="64" t="s">
        <v>399</v>
      </c>
      <c r="Q2" s="64" t="s">
        <v>403</v>
      </c>
      <c r="R2" s="61" t="s">
        <v>407</v>
      </c>
      <c r="S2" s="61" t="s">
        <v>411</v>
      </c>
      <c r="T2" s="64" t="s">
        <v>411</v>
      </c>
      <c r="U2" s="62" t="s">
        <v>291</v>
      </c>
      <c r="V2" s="59" t="s">
        <v>170</v>
      </c>
      <c r="W2" s="70" t="s">
        <v>518</v>
      </c>
      <c r="X2" s="61" t="s">
        <v>519</v>
      </c>
      <c r="AC2" s="61" t="s">
        <v>419</v>
      </c>
      <c r="AF2" s="65">
        <v>256</v>
      </c>
    </row>
    <row r="3" spans="1:32" ht="45" x14ac:dyDescent="0.25">
      <c r="A3" s="59" t="s">
        <v>290</v>
      </c>
      <c r="B3" s="59" t="s">
        <v>292</v>
      </c>
      <c r="C3" s="59" t="s">
        <v>555</v>
      </c>
      <c r="D3" s="59" t="s">
        <v>69</v>
      </c>
      <c r="E3" s="59">
        <v>1</v>
      </c>
      <c r="F3" s="59">
        <v>1</v>
      </c>
      <c r="G3" s="59" t="s">
        <v>217</v>
      </c>
      <c r="H3" s="59" t="s">
        <v>318</v>
      </c>
      <c r="I3" s="63" t="s">
        <v>359</v>
      </c>
      <c r="J3" s="59" t="s">
        <v>69</v>
      </c>
      <c r="K3" s="61" t="s">
        <v>500</v>
      </c>
      <c r="L3" s="59" t="s">
        <v>69</v>
      </c>
      <c r="M3" s="64" t="s">
        <v>374</v>
      </c>
      <c r="N3" s="61" t="s">
        <v>378</v>
      </c>
      <c r="O3" s="64" t="s">
        <v>396</v>
      </c>
      <c r="P3" s="64" t="s">
        <v>400</v>
      </c>
      <c r="Q3" s="64" t="s">
        <v>404</v>
      </c>
      <c r="R3" s="61" t="s">
        <v>408</v>
      </c>
      <c r="S3" s="61" t="s">
        <v>412</v>
      </c>
      <c r="T3" s="64" t="s">
        <v>412</v>
      </c>
      <c r="U3" s="62" t="s">
        <v>293</v>
      </c>
      <c r="V3" s="59" t="s">
        <v>550</v>
      </c>
      <c r="W3" s="69"/>
      <c r="X3" s="61" t="s">
        <v>520</v>
      </c>
      <c r="AC3" s="61" t="s">
        <v>420</v>
      </c>
      <c r="AF3" s="65">
        <v>283</v>
      </c>
    </row>
    <row r="4" spans="1:32" ht="30" x14ac:dyDescent="0.25">
      <c r="A4" s="59" t="s">
        <v>256</v>
      </c>
      <c r="B4" s="62" t="s">
        <v>293</v>
      </c>
      <c r="C4" s="59"/>
      <c r="D4" s="59"/>
      <c r="E4" s="59">
        <v>2</v>
      </c>
      <c r="F4" s="59">
        <v>2</v>
      </c>
      <c r="G4" s="59" t="s">
        <v>218</v>
      </c>
      <c r="H4" s="59" t="s">
        <v>319</v>
      </c>
      <c r="I4" s="63" t="s">
        <v>360</v>
      </c>
      <c r="J4" s="59"/>
      <c r="K4" s="61" t="s">
        <v>501</v>
      </c>
      <c r="M4" s="64" t="s">
        <v>375</v>
      </c>
      <c r="N4" s="61" t="s">
        <v>379</v>
      </c>
      <c r="O4" s="64" t="s">
        <v>397</v>
      </c>
      <c r="P4" s="64" t="s">
        <v>401</v>
      </c>
      <c r="Q4" s="64" t="s">
        <v>405</v>
      </c>
      <c r="R4" s="61" t="s">
        <v>409</v>
      </c>
      <c r="S4" s="61" t="s">
        <v>413</v>
      </c>
      <c r="T4" s="64" t="s">
        <v>414</v>
      </c>
      <c r="U4" s="62" t="s">
        <v>296</v>
      </c>
      <c r="V4" s="64" t="s">
        <v>509</v>
      </c>
      <c r="X4" s="71" t="s">
        <v>521</v>
      </c>
      <c r="Y4" s="61">
        <v>1</v>
      </c>
      <c r="AB4" s="61">
        <f>(1&amp;AB1)*1</f>
        <v>1286</v>
      </c>
      <c r="AC4" s="61" t="s">
        <v>421</v>
      </c>
      <c r="AF4" s="65">
        <v>286</v>
      </c>
    </row>
    <row r="5" spans="1:32" ht="30" x14ac:dyDescent="0.25">
      <c r="A5" s="59" t="s">
        <v>273</v>
      </c>
      <c r="B5" s="59" t="s">
        <v>294</v>
      </c>
      <c r="C5" s="59"/>
      <c r="D5" s="59"/>
      <c r="E5" s="59">
        <v>3</v>
      </c>
      <c r="F5" s="59">
        <v>3</v>
      </c>
      <c r="G5" s="59" t="s">
        <v>219</v>
      </c>
      <c r="H5" s="59" t="s">
        <v>320</v>
      </c>
      <c r="I5" s="63" t="s">
        <v>361</v>
      </c>
      <c r="K5" s="61" t="s">
        <v>502</v>
      </c>
      <c r="M5" s="64" t="s">
        <v>376</v>
      </c>
      <c r="N5" s="61" t="s">
        <v>380</v>
      </c>
      <c r="O5" s="64" t="s">
        <v>398</v>
      </c>
      <c r="Q5" s="64"/>
      <c r="S5" s="61" t="s">
        <v>414</v>
      </c>
      <c r="U5" s="62" t="s">
        <v>297</v>
      </c>
      <c r="X5" s="61" t="s">
        <v>522</v>
      </c>
      <c r="AC5" s="61" t="s">
        <v>422</v>
      </c>
      <c r="AF5" s="65">
        <v>290</v>
      </c>
    </row>
    <row r="6" spans="1:32" x14ac:dyDescent="0.25">
      <c r="A6" s="59" t="s">
        <v>267</v>
      </c>
      <c r="B6" s="59" t="s">
        <v>295</v>
      </c>
      <c r="C6" s="59"/>
      <c r="D6" s="59"/>
      <c r="E6" s="59">
        <v>4</v>
      </c>
      <c r="F6" s="59">
        <v>4</v>
      </c>
      <c r="G6" s="59" t="s">
        <v>220</v>
      </c>
      <c r="H6" s="59" t="s">
        <v>321</v>
      </c>
      <c r="I6" s="63" t="s">
        <v>362</v>
      </c>
      <c r="K6" s="61" t="s">
        <v>503</v>
      </c>
      <c r="N6" s="61" t="s">
        <v>381</v>
      </c>
      <c r="U6" s="62" t="s">
        <v>301</v>
      </c>
      <c r="X6" s="71" t="s">
        <v>523</v>
      </c>
      <c r="Y6" s="61">
        <v>1</v>
      </c>
      <c r="AC6" s="61" t="s">
        <v>423</v>
      </c>
      <c r="AF6" s="65">
        <v>291</v>
      </c>
    </row>
    <row r="7" spans="1:32" x14ac:dyDescent="0.25">
      <c r="A7" s="59" t="s">
        <v>264</v>
      </c>
      <c r="B7" s="62" t="s">
        <v>296</v>
      </c>
      <c r="C7" s="59"/>
      <c r="D7" s="59"/>
      <c r="E7" s="59">
        <v>5</v>
      </c>
      <c r="F7" s="59">
        <v>5</v>
      </c>
      <c r="G7" s="59" t="s">
        <v>221</v>
      </c>
      <c r="H7" s="59" t="s">
        <v>322</v>
      </c>
      <c r="I7" s="63" t="s">
        <v>363</v>
      </c>
      <c r="K7" s="61" t="s">
        <v>504</v>
      </c>
      <c r="N7" s="61" t="s">
        <v>382</v>
      </c>
      <c r="U7" s="62" t="s">
        <v>312</v>
      </c>
      <c r="X7" s="71" t="s">
        <v>524</v>
      </c>
      <c r="Y7" s="61">
        <v>1</v>
      </c>
      <c r="AB7" s="61">
        <f>(2&amp;AB1)*1</f>
        <v>2286</v>
      </c>
      <c r="AC7" s="61" t="s">
        <v>424</v>
      </c>
      <c r="AF7" s="65">
        <v>292</v>
      </c>
    </row>
    <row r="8" spans="1:32" x14ac:dyDescent="0.25">
      <c r="A8" s="59" t="s">
        <v>247</v>
      </c>
      <c r="B8" s="62" t="s">
        <v>297</v>
      </c>
      <c r="C8" s="59"/>
      <c r="D8" s="59"/>
      <c r="E8" s="59">
        <v>6</v>
      </c>
      <c r="F8" s="59">
        <v>6</v>
      </c>
      <c r="G8" s="59"/>
      <c r="H8" s="59" t="s">
        <v>323</v>
      </c>
      <c r="I8" s="63" t="s">
        <v>364</v>
      </c>
      <c r="K8" s="61" t="s">
        <v>505</v>
      </c>
      <c r="N8" s="61" t="s">
        <v>383</v>
      </c>
      <c r="X8" s="61" t="s">
        <v>525</v>
      </c>
      <c r="AC8" s="61" t="s">
        <v>422</v>
      </c>
      <c r="AF8" s="65">
        <v>293</v>
      </c>
    </row>
    <row r="9" spans="1:32" x14ac:dyDescent="0.25">
      <c r="A9" s="59" t="s">
        <v>245</v>
      </c>
      <c r="B9" s="59" t="s">
        <v>298</v>
      </c>
      <c r="C9" s="59"/>
      <c r="D9" s="59"/>
      <c r="E9" s="59">
        <v>7</v>
      </c>
      <c r="F9" s="59">
        <v>7</v>
      </c>
      <c r="G9" s="59"/>
      <c r="H9" s="59" t="s">
        <v>324</v>
      </c>
      <c r="I9" s="63" t="s">
        <v>365</v>
      </c>
      <c r="K9" s="61" t="s">
        <v>506</v>
      </c>
      <c r="N9" s="61" t="s">
        <v>384</v>
      </c>
      <c r="X9" s="71" t="s">
        <v>526</v>
      </c>
      <c r="Y9" s="61">
        <v>1</v>
      </c>
      <c r="AC9" s="61" t="s">
        <v>425</v>
      </c>
      <c r="AF9" s="65">
        <v>294</v>
      </c>
    </row>
    <row r="10" spans="1:32" x14ac:dyDescent="0.25">
      <c r="A10" s="59" t="s">
        <v>272</v>
      </c>
      <c r="B10" s="59" t="s">
        <v>299</v>
      </c>
      <c r="C10" s="59"/>
      <c r="D10" s="59"/>
      <c r="E10" s="59">
        <v>8</v>
      </c>
      <c r="F10" s="59">
        <v>8</v>
      </c>
      <c r="G10" s="59"/>
      <c r="H10" s="59" t="s">
        <v>325</v>
      </c>
      <c r="I10" s="63" t="s">
        <v>366</v>
      </c>
      <c r="N10" s="61" t="s">
        <v>385</v>
      </c>
      <c r="X10" s="71" t="s">
        <v>527</v>
      </c>
      <c r="Y10" s="61">
        <v>1</v>
      </c>
      <c r="AB10" s="61">
        <f>(3&amp;AB1)*1</f>
        <v>3286</v>
      </c>
      <c r="AC10" s="61" t="s">
        <v>426</v>
      </c>
      <c r="AF10" s="65">
        <v>296</v>
      </c>
    </row>
    <row r="11" spans="1:32" x14ac:dyDescent="0.25">
      <c r="A11" s="59" t="s">
        <v>288</v>
      </c>
      <c r="B11" s="59" t="s">
        <v>300</v>
      </c>
      <c r="C11" s="59"/>
      <c r="D11" s="59"/>
      <c r="E11" s="59">
        <v>9</v>
      </c>
      <c r="F11" s="59">
        <v>9</v>
      </c>
      <c r="G11" s="59"/>
      <c r="H11" s="59" t="s">
        <v>326</v>
      </c>
      <c r="I11" s="63" t="s">
        <v>367</v>
      </c>
      <c r="N11" s="61" t="s">
        <v>386</v>
      </c>
      <c r="X11" s="71" t="s">
        <v>528</v>
      </c>
      <c r="Y11" s="61">
        <v>1</v>
      </c>
      <c r="AC11" s="61" t="s">
        <v>422</v>
      </c>
      <c r="AF11" s="65">
        <v>297</v>
      </c>
    </row>
    <row r="12" spans="1:32" x14ac:dyDescent="0.25">
      <c r="A12" s="59" t="s">
        <v>243</v>
      </c>
      <c r="B12" s="62" t="s">
        <v>301</v>
      </c>
      <c r="C12" s="59"/>
      <c r="D12" s="59"/>
      <c r="E12" s="59">
        <v>10</v>
      </c>
      <c r="F12" s="59">
        <v>10</v>
      </c>
      <c r="G12" s="59"/>
      <c r="H12" s="59" t="s">
        <v>327</v>
      </c>
      <c r="I12" s="63" t="s">
        <v>202</v>
      </c>
      <c r="N12" s="61" t="s">
        <v>387</v>
      </c>
      <c r="X12" s="61" t="s">
        <v>529</v>
      </c>
      <c r="AF12" s="65">
        <v>298</v>
      </c>
    </row>
    <row r="13" spans="1:32" x14ac:dyDescent="0.25">
      <c r="A13" s="59" t="s">
        <v>222</v>
      </c>
      <c r="B13" s="66" t="s">
        <v>302</v>
      </c>
      <c r="C13" s="59"/>
      <c r="D13" s="59"/>
      <c r="E13" s="59">
        <v>11</v>
      </c>
      <c r="F13" s="59">
        <v>11</v>
      </c>
      <c r="G13" s="59"/>
      <c r="H13" s="59" t="s">
        <v>328</v>
      </c>
      <c r="I13" s="63" t="s">
        <v>368</v>
      </c>
      <c r="N13" s="61" t="s">
        <v>388</v>
      </c>
      <c r="X13" s="61" t="s">
        <v>530</v>
      </c>
      <c r="AA13" s="61">
        <f>AB13</f>
        <v>256</v>
      </c>
      <c r="AB13" s="61">
        <f>RIGHT(AC13,3)*1</f>
        <v>256</v>
      </c>
      <c r="AC13" s="61" t="s">
        <v>428</v>
      </c>
      <c r="AF13" s="65">
        <v>299</v>
      </c>
    </row>
    <row r="14" spans="1:32" x14ac:dyDescent="0.25">
      <c r="A14" s="59" t="s">
        <v>280</v>
      </c>
      <c r="B14" s="59" t="s">
        <v>303</v>
      </c>
      <c r="C14" s="59"/>
      <c r="D14" s="59"/>
      <c r="E14" s="59">
        <v>12</v>
      </c>
      <c r="F14" s="59">
        <v>12</v>
      </c>
      <c r="G14" s="59"/>
      <c r="H14" s="59" t="s">
        <v>329</v>
      </c>
      <c r="I14" s="59"/>
      <c r="N14" s="61" t="s">
        <v>389</v>
      </c>
      <c r="X14" s="61" t="s">
        <v>531</v>
      </c>
      <c r="AC14" s="61" t="s">
        <v>419</v>
      </c>
      <c r="AF14" s="65">
        <v>300</v>
      </c>
    </row>
    <row r="15" spans="1:32" x14ac:dyDescent="0.25">
      <c r="A15" s="59" t="s">
        <v>265</v>
      </c>
      <c r="B15" s="59" t="s">
        <v>304</v>
      </c>
      <c r="C15" s="59"/>
      <c r="D15" s="59"/>
      <c r="E15" s="59">
        <v>13</v>
      </c>
      <c r="F15" s="59">
        <v>13</v>
      </c>
      <c r="G15" s="59"/>
      <c r="H15" s="59" t="s">
        <v>330</v>
      </c>
      <c r="I15" s="59"/>
      <c r="N15" s="61" t="s">
        <v>390</v>
      </c>
      <c r="X15" s="61" t="s">
        <v>532</v>
      </c>
      <c r="AC15" s="61" t="s">
        <v>420</v>
      </c>
      <c r="AF15" s="65">
        <v>301</v>
      </c>
    </row>
    <row r="16" spans="1:32" x14ac:dyDescent="0.25">
      <c r="A16" s="59" t="s">
        <v>271</v>
      </c>
      <c r="B16" s="59" t="s">
        <v>305</v>
      </c>
      <c r="C16" s="59"/>
      <c r="D16" s="59"/>
      <c r="E16" s="59">
        <v>14</v>
      </c>
      <c r="F16" s="59">
        <v>14</v>
      </c>
      <c r="G16" s="59"/>
      <c r="H16" s="59" t="s">
        <v>331</v>
      </c>
      <c r="I16" s="59"/>
      <c r="N16" s="61" t="s">
        <v>391</v>
      </c>
      <c r="X16" s="71" t="s">
        <v>533</v>
      </c>
      <c r="Y16" s="61">
        <v>1</v>
      </c>
      <c r="AB16" s="61">
        <f>(1&amp;AB13)*1</f>
        <v>1256</v>
      </c>
      <c r="AC16" s="61" t="s">
        <v>135</v>
      </c>
      <c r="AF16" s="65">
        <v>302</v>
      </c>
    </row>
    <row r="17" spans="1:32" x14ac:dyDescent="0.25">
      <c r="A17" s="59" t="s">
        <v>274</v>
      </c>
      <c r="B17" s="59" t="s">
        <v>306</v>
      </c>
      <c r="C17" s="59"/>
      <c r="D17" s="59"/>
      <c r="E17" s="59">
        <v>15</v>
      </c>
      <c r="F17" s="59">
        <v>15</v>
      </c>
      <c r="G17" s="59"/>
      <c r="H17" s="59" t="s">
        <v>332</v>
      </c>
      <c r="I17" s="59"/>
      <c r="N17" s="61" t="s">
        <v>392</v>
      </c>
      <c r="X17" s="71" t="s">
        <v>534</v>
      </c>
      <c r="Y17" s="61">
        <v>1</v>
      </c>
      <c r="AC17" s="61" t="s">
        <v>422</v>
      </c>
      <c r="AF17" s="65">
        <v>303</v>
      </c>
    </row>
    <row r="18" spans="1:32" x14ac:dyDescent="0.25">
      <c r="A18" s="59" t="s">
        <v>268</v>
      </c>
      <c r="B18" s="59" t="s">
        <v>307</v>
      </c>
      <c r="C18" s="59"/>
      <c r="D18" s="59"/>
      <c r="E18" s="59"/>
      <c r="F18" s="59"/>
      <c r="G18" s="59"/>
      <c r="H18" s="59" t="s">
        <v>333</v>
      </c>
      <c r="I18" s="59"/>
      <c r="N18" s="61" t="s">
        <v>393</v>
      </c>
      <c r="X18" s="71" t="s">
        <v>535</v>
      </c>
      <c r="Y18" s="61">
        <v>1</v>
      </c>
      <c r="AC18" s="61" t="s">
        <v>423</v>
      </c>
      <c r="AF18" s="65">
        <v>304</v>
      </c>
    </row>
    <row r="19" spans="1:32" x14ac:dyDescent="0.25">
      <c r="A19" s="59" t="s">
        <v>277</v>
      </c>
      <c r="B19" s="59" t="s">
        <v>308</v>
      </c>
      <c r="C19" s="59"/>
      <c r="D19" s="59"/>
      <c r="E19" s="59"/>
      <c r="F19" s="59"/>
      <c r="G19" s="59"/>
      <c r="H19" s="59" t="s">
        <v>334</v>
      </c>
      <c r="I19" s="59"/>
      <c r="X19" s="71" t="s">
        <v>536</v>
      </c>
      <c r="Y19" s="61">
        <v>1</v>
      </c>
      <c r="AB19" s="61">
        <f>(2&amp;AB13)*1</f>
        <v>2256</v>
      </c>
      <c r="AC19" s="61" t="s">
        <v>136</v>
      </c>
      <c r="AF19" s="65">
        <v>305</v>
      </c>
    </row>
    <row r="20" spans="1:32" x14ac:dyDescent="0.25">
      <c r="A20" s="59" t="s">
        <v>270</v>
      </c>
      <c r="B20" s="59" t="s">
        <v>309</v>
      </c>
      <c r="C20" s="59"/>
      <c r="D20" s="59"/>
      <c r="E20" s="59"/>
      <c r="F20" s="59"/>
      <c r="G20" s="59"/>
      <c r="H20" s="59" t="s">
        <v>335</v>
      </c>
      <c r="I20" s="59"/>
      <c r="X20" s="61" t="s">
        <v>537</v>
      </c>
      <c r="AC20" s="61" t="s">
        <v>422</v>
      </c>
      <c r="AF20" s="65">
        <v>306</v>
      </c>
    </row>
    <row r="21" spans="1:32" x14ac:dyDescent="0.25">
      <c r="A21" s="59" t="s">
        <v>281</v>
      </c>
      <c r="B21" s="59" t="s">
        <v>310</v>
      </c>
      <c r="C21" s="59"/>
      <c r="D21" s="59"/>
      <c r="E21" s="59"/>
      <c r="F21" s="59"/>
      <c r="G21" s="59"/>
      <c r="H21" s="59" t="s">
        <v>336</v>
      </c>
      <c r="I21" s="59"/>
      <c r="X21" s="61" t="s">
        <v>538</v>
      </c>
      <c r="AC21" s="61" t="s">
        <v>425</v>
      </c>
      <c r="AF21" s="65">
        <v>307</v>
      </c>
    </row>
    <row r="22" spans="1:32" x14ac:dyDescent="0.25">
      <c r="A22" s="59" t="s">
        <v>232</v>
      </c>
      <c r="B22" s="59" t="s">
        <v>311</v>
      </c>
      <c r="C22" s="59"/>
      <c r="D22" s="59"/>
      <c r="E22" s="59"/>
      <c r="F22" s="59"/>
      <c r="G22" s="59"/>
      <c r="H22" s="59" t="s">
        <v>337</v>
      </c>
      <c r="I22" s="59"/>
      <c r="AB22" s="61">
        <f>(3&amp;AB13)*1</f>
        <v>3256</v>
      </c>
      <c r="AC22" s="61" t="s">
        <v>137</v>
      </c>
      <c r="AF22" s="65">
        <v>308</v>
      </c>
    </row>
    <row r="23" spans="1:32" x14ac:dyDescent="0.25">
      <c r="A23" s="59" t="s">
        <v>249</v>
      </c>
      <c r="B23" s="62" t="s">
        <v>312</v>
      </c>
      <c r="C23" s="59"/>
      <c r="D23" s="59"/>
      <c r="E23" s="59"/>
      <c r="F23" s="59"/>
      <c r="G23" s="59"/>
      <c r="H23" s="59" t="s">
        <v>338</v>
      </c>
      <c r="I23" s="59"/>
      <c r="AC23" s="61" t="s">
        <v>422</v>
      </c>
      <c r="AF23" s="65">
        <v>309</v>
      </c>
    </row>
    <row r="24" spans="1:32" x14ac:dyDescent="0.25">
      <c r="A24" s="59" t="s">
        <v>284</v>
      </c>
      <c r="B24" s="59" t="s">
        <v>313</v>
      </c>
      <c r="C24" s="59"/>
      <c r="D24" s="59"/>
      <c r="E24" s="59"/>
      <c r="F24" s="59"/>
      <c r="G24" s="59"/>
      <c r="H24" s="59" t="s">
        <v>339</v>
      </c>
      <c r="I24" s="59"/>
      <c r="AF24" s="65">
        <v>310</v>
      </c>
    </row>
    <row r="25" spans="1:32" x14ac:dyDescent="0.25">
      <c r="A25" s="59" t="s">
        <v>261</v>
      </c>
      <c r="B25" s="59" t="s">
        <v>314</v>
      </c>
      <c r="C25" s="59"/>
      <c r="D25" s="59"/>
      <c r="E25" s="59"/>
      <c r="F25" s="59"/>
      <c r="G25" s="59"/>
      <c r="H25" s="59" t="s">
        <v>340</v>
      </c>
      <c r="I25" s="59"/>
      <c r="AA25" s="61">
        <f>AB25</f>
        <v>283</v>
      </c>
      <c r="AB25" s="61">
        <f>RIGHT(AC25,3)*1</f>
        <v>283</v>
      </c>
      <c r="AC25" s="61" t="s">
        <v>432</v>
      </c>
      <c r="AF25" s="65">
        <v>311</v>
      </c>
    </row>
    <row r="26" spans="1:32" x14ac:dyDescent="0.25">
      <c r="A26" s="59" t="s">
        <v>230</v>
      </c>
      <c r="B26" s="59" t="s">
        <v>315</v>
      </c>
      <c r="C26" s="59"/>
      <c r="D26" s="59"/>
      <c r="E26" s="59"/>
      <c r="F26" s="59"/>
      <c r="G26" s="59"/>
      <c r="H26" s="59" t="s">
        <v>341</v>
      </c>
      <c r="I26" s="59"/>
      <c r="AC26" s="61" t="s">
        <v>419</v>
      </c>
    </row>
    <row r="27" spans="1:32" x14ac:dyDescent="0.25">
      <c r="A27" s="59" t="s">
        <v>279</v>
      </c>
      <c r="B27" s="59" t="s">
        <v>316</v>
      </c>
      <c r="C27" s="59"/>
      <c r="D27" s="59"/>
      <c r="E27" s="59"/>
      <c r="F27" s="59"/>
      <c r="G27" s="59"/>
      <c r="H27" s="59" t="s">
        <v>342</v>
      </c>
      <c r="I27" s="59"/>
      <c r="AC27" s="61" t="s">
        <v>420</v>
      </c>
    </row>
    <row r="28" spans="1:32" x14ac:dyDescent="0.25">
      <c r="A28" s="59" t="s">
        <v>242</v>
      </c>
      <c r="B28" s="59"/>
      <c r="C28" s="59"/>
      <c r="D28" s="59"/>
      <c r="E28" s="59"/>
      <c r="F28" s="59"/>
      <c r="G28" s="59"/>
      <c r="H28" s="59" t="s">
        <v>343</v>
      </c>
      <c r="I28" s="59"/>
      <c r="AB28" s="61">
        <f>(1&amp;AB25)*1</f>
        <v>1283</v>
      </c>
      <c r="AC28" s="61" t="s">
        <v>429</v>
      </c>
    </row>
    <row r="29" spans="1:32" x14ac:dyDescent="0.25">
      <c r="A29" s="59" t="s">
        <v>240</v>
      </c>
      <c r="B29" s="59"/>
      <c r="C29" s="59"/>
      <c r="D29" s="59"/>
      <c r="E29" s="59"/>
      <c r="F29" s="59"/>
      <c r="G29" s="59"/>
      <c r="H29" s="59" t="s">
        <v>344</v>
      </c>
      <c r="I29" s="59"/>
      <c r="AC29" s="61" t="s">
        <v>422</v>
      </c>
    </row>
    <row r="30" spans="1:32" x14ac:dyDescent="0.25">
      <c r="A30" s="59" t="s">
        <v>250</v>
      </c>
      <c r="B30" s="59"/>
      <c r="C30" s="59"/>
      <c r="D30" s="59"/>
      <c r="E30" s="59"/>
      <c r="F30" s="59"/>
      <c r="G30" s="59"/>
      <c r="H30" s="59" t="s">
        <v>345</v>
      </c>
      <c r="I30" s="59"/>
      <c r="AC30" s="61" t="s">
        <v>423</v>
      </c>
    </row>
    <row r="31" spans="1:32" x14ac:dyDescent="0.25">
      <c r="A31" s="59" t="s">
        <v>253</v>
      </c>
      <c r="B31" s="59"/>
      <c r="C31" s="59"/>
      <c r="D31" s="59"/>
      <c r="E31" s="59"/>
      <c r="F31" s="59"/>
      <c r="G31" s="59"/>
      <c r="H31" s="59" t="s">
        <v>346</v>
      </c>
      <c r="I31" s="59"/>
      <c r="AB31" s="61">
        <f>(2&amp;AB25)*1</f>
        <v>2283</v>
      </c>
      <c r="AC31" s="61" t="s">
        <v>430</v>
      </c>
    </row>
    <row r="32" spans="1:32" x14ac:dyDescent="0.25">
      <c r="A32" s="59" t="s">
        <v>276</v>
      </c>
      <c r="B32" s="59"/>
      <c r="C32" s="59"/>
      <c r="D32" s="59"/>
      <c r="E32" s="59"/>
      <c r="F32" s="59"/>
      <c r="G32" s="59"/>
      <c r="H32" s="59" t="s">
        <v>347</v>
      </c>
      <c r="I32" s="59"/>
      <c r="AC32" s="61" t="s">
        <v>422</v>
      </c>
    </row>
    <row r="33" spans="1:29" x14ac:dyDescent="0.25">
      <c r="A33" s="59" t="s">
        <v>244</v>
      </c>
      <c r="B33" s="59"/>
      <c r="C33" s="59"/>
      <c r="D33" s="59"/>
      <c r="E33" s="59"/>
      <c r="F33" s="59"/>
      <c r="G33" s="59"/>
      <c r="H33" s="59" t="s">
        <v>348</v>
      </c>
      <c r="I33" s="59"/>
      <c r="AC33" s="61" t="s">
        <v>425</v>
      </c>
    </row>
    <row r="34" spans="1:29" x14ac:dyDescent="0.25">
      <c r="A34" s="59" t="s">
        <v>278</v>
      </c>
      <c r="B34" s="59"/>
      <c r="C34" s="59"/>
      <c r="D34" s="59"/>
      <c r="E34" s="59"/>
      <c r="F34" s="59"/>
      <c r="G34" s="59"/>
      <c r="H34" s="59" t="s">
        <v>349</v>
      </c>
      <c r="I34" s="59"/>
      <c r="AB34" s="61">
        <f>(3&amp;AB25)*1</f>
        <v>3283</v>
      </c>
      <c r="AC34" s="61" t="s">
        <v>431</v>
      </c>
    </row>
    <row r="35" spans="1:29" x14ac:dyDescent="0.25">
      <c r="A35" s="59" t="s">
        <v>285</v>
      </c>
      <c r="B35" s="59"/>
      <c r="C35" s="59"/>
      <c r="D35" s="59"/>
      <c r="E35" s="59"/>
      <c r="F35" s="59"/>
      <c r="G35" s="59"/>
      <c r="H35" s="59" t="s">
        <v>350</v>
      </c>
      <c r="I35" s="59"/>
      <c r="AC35" s="61" t="s">
        <v>422</v>
      </c>
    </row>
    <row r="36" spans="1:29" x14ac:dyDescent="0.25">
      <c r="A36" s="59" t="s">
        <v>549</v>
      </c>
      <c r="B36" s="59"/>
      <c r="C36" s="59"/>
      <c r="D36" s="59"/>
      <c r="E36" s="59"/>
      <c r="F36" s="59"/>
      <c r="G36" s="59"/>
      <c r="H36" s="59" t="s">
        <v>351</v>
      </c>
      <c r="I36" s="59"/>
    </row>
    <row r="37" spans="1:29" x14ac:dyDescent="0.25">
      <c r="A37" s="59" t="s">
        <v>263</v>
      </c>
      <c r="B37" s="59"/>
      <c r="C37" s="59"/>
      <c r="D37" s="59"/>
      <c r="E37" s="59"/>
      <c r="F37" s="59"/>
      <c r="G37" s="59"/>
      <c r="H37" s="59" t="s">
        <v>352</v>
      </c>
      <c r="I37" s="59"/>
      <c r="AA37" s="61">
        <f>AB37</f>
        <v>292</v>
      </c>
      <c r="AB37" s="61">
        <f>RIGHT(AC37,3)*1</f>
        <v>292</v>
      </c>
      <c r="AC37" s="61" t="s">
        <v>434</v>
      </c>
    </row>
    <row r="38" spans="1:29" x14ac:dyDescent="0.25">
      <c r="A38" s="59" t="s">
        <v>228</v>
      </c>
      <c r="B38" s="59"/>
      <c r="C38" s="59"/>
      <c r="D38" s="59"/>
      <c r="E38" s="59"/>
      <c r="F38" s="59"/>
      <c r="G38" s="59"/>
      <c r="H38" s="59" t="s">
        <v>353</v>
      </c>
      <c r="I38" s="59"/>
      <c r="AC38" s="61" t="s">
        <v>419</v>
      </c>
    </row>
    <row r="39" spans="1:29" x14ac:dyDescent="0.25">
      <c r="A39" s="59" t="s">
        <v>227</v>
      </c>
      <c r="B39" s="59"/>
      <c r="C39" s="59"/>
      <c r="D39" s="59"/>
      <c r="E39" s="59"/>
      <c r="F39" s="59"/>
      <c r="G39" s="59"/>
      <c r="H39" s="59" t="s">
        <v>354</v>
      </c>
      <c r="I39" s="59"/>
      <c r="AC39" s="61" t="s">
        <v>420</v>
      </c>
    </row>
    <row r="40" spans="1:29" x14ac:dyDescent="0.25">
      <c r="A40" s="59" t="s">
        <v>258</v>
      </c>
      <c r="B40" s="59"/>
      <c r="C40" s="59"/>
      <c r="D40" s="59"/>
      <c r="E40" s="59"/>
      <c r="F40" s="59"/>
      <c r="G40" s="59"/>
      <c r="H40" s="59" t="s">
        <v>355</v>
      </c>
      <c r="I40" s="59"/>
      <c r="AB40" s="61">
        <f>(1&amp;AB37)*1</f>
        <v>1292</v>
      </c>
      <c r="AC40" s="61" t="s">
        <v>421</v>
      </c>
    </row>
    <row r="41" spans="1:29" x14ac:dyDescent="0.25">
      <c r="A41" s="59" t="s">
        <v>260</v>
      </c>
      <c r="B41" s="59"/>
      <c r="C41" s="59"/>
      <c r="D41" s="59"/>
      <c r="E41" s="59"/>
      <c r="F41" s="59"/>
      <c r="G41" s="59"/>
      <c r="H41" s="59" t="s">
        <v>356</v>
      </c>
      <c r="I41" s="59"/>
      <c r="AC41" s="61" t="s">
        <v>422</v>
      </c>
    </row>
    <row r="42" spans="1:29" x14ac:dyDescent="0.25">
      <c r="A42" s="59" t="s">
        <v>286</v>
      </c>
      <c r="B42" s="59"/>
      <c r="C42" s="59"/>
      <c r="D42" s="59"/>
      <c r="E42" s="59"/>
      <c r="F42" s="59"/>
      <c r="G42" s="59"/>
      <c r="H42" s="59" t="s">
        <v>357</v>
      </c>
      <c r="I42" s="59"/>
      <c r="AC42" s="61" t="s">
        <v>423</v>
      </c>
    </row>
    <row r="43" spans="1:29" x14ac:dyDescent="0.25">
      <c r="A43" s="59" t="s">
        <v>234</v>
      </c>
      <c r="B43" s="59"/>
      <c r="C43" s="59"/>
      <c r="D43" s="59"/>
      <c r="E43" s="59"/>
      <c r="F43" s="59"/>
      <c r="G43" s="59"/>
      <c r="H43" s="59"/>
      <c r="I43" s="59"/>
      <c r="AB43" s="61">
        <f>(2&amp;AB37)*1</f>
        <v>2292</v>
      </c>
      <c r="AC43" s="61" t="s">
        <v>433</v>
      </c>
    </row>
    <row r="44" spans="1:29" x14ac:dyDescent="0.25">
      <c r="A44" s="59" t="s">
        <v>233</v>
      </c>
      <c r="B44" s="59"/>
      <c r="C44" s="59"/>
      <c r="D44" s="59"/>
      <c r="E44" s="59"/>
      <c r="F44" s="59"/>
      <c r="G44" s="59"/>
      <c r="H44" s="59"/>
      <c r="I44" s="59"/>
      <c r="AC44" s="61" t="s">
        <v>422</v>
      </c>
    </row>
    <row r="45" spans="1:29" x14ac:dyDescent="0.25">
      <c r="A45" s="59" t="s">
        <v>282</v>
      </c>
      <c r="B45" s="59"/>
      <c r="C45" s="59"/>
      <c r="D45" s="59"/>
      <c r="E45" s="59"/>
      <c r="F45" s="59"/>
      <c r="G45" s="59"/>
      <c r="H45" s="59"/>
      <c r="I45" s="59"/>
      <c r="AC45" s="61" t="s">
        <v>425</v>
      </c>
    </row>
    <row r="46" spans="1:29" x14ac:dyDescent="0.25">
      <c r="A46" s="59" t="s">
        <v>259</v>
      </c>
      <c r="B46" s="59"/>
      <c r="C46" s="59"/>
      <c r="D46" s="59"/>
      <c r="E46" s="59"/>
      <c r="F46" s="59"/>
      <c r="G46" s="59"/>
      <c r="H46" s="59"/>
      <c r="I46" s="59"/>
      <c r="AB46" s="61">
        <f>(3&amp;AB37)*1</f>
        <v>3292</v>
      </c>
      <c r="AC46" s="61" t="s">
        <v>426</v>
      </c>
    </row>
    <row r="47" spans="1:29" x14ac:dyDescent="0.25">
      <c r="A47" s="59" t="s">
        <v>246</v>
      </c>
      <c r="B47" s="59"/>
      <c r="C47" s="59"/>
      <c r="D47" s="59"/>
      <c r="E47" s="59"/>
      <c r="F47" s="59"/>
      <c r="G47" s="59"/>
      <c r="H47" s="59"/>
      <c r="I47" s="59"/>
      <c r="AC47" s="61" t="s">
        <v>422</v>
      </c>
    </row>
    <row r="48" spans="1:29" x14ac:dyDescent="0.25">
      <c r="A48" s="59" t="s">
        <v>269</v>
      </c>
      <c r="B48" s="59"/>
      <c r="C48" s="59"/>
      <c r="D48" s="59"/>
      <c r="E48" s="59"/>
      <c r="F48" s="59"/>
      <c r="G48" s="59"/>
      <c r="H48" s="59"/>
      <c r="I48" s="59"/>
    </row>
    <row r="49" spans="1:29" x14ac:dyDescent="0.25">
      <c r="A49" s="59" t="s">
        <v>229</v>
      </c>
      <c r="B49" s="59"/>
      <c r="C49" s="59"/>
      <c r="D49" s="59"/>
      <c r="E49" s="59"/>
      <c r="F49" s="59"/>
      <c r="G49" s="59"/>
      <c r="H49" s="59"/>
      <c r="I49" s="59"/>
      <c r="AA49" s="61">
        <f>AB49</f>
        <v>293</v>
      </c>
      <c r="AB49" s="61">
        <f>RIGHT(AC49,3)*1</f>
        <v>293</v>
      </c>
      <c r="AC49" s="61" t="s">
        <v>435</v>
      </c>
    </row>
    <row r="50" spans="1:29" x14ac:dyDescent="0.25">
      <c r="A50" s="59" t="s">
        <v>238</v>
      </c>
      <c r="B50" s="59"/>
      <c r="C50" s="59"/>
      <c r="D50" s="59"/>
      <c r="E50" s="59"/>
      <c r="F50" s="59"/>
      <c r="G50" s="59"/>
      <c r="H50" s="59"/>
      <c r="I50" s="59"/>
      <c r="AC50" s="61" t="s">
        <v>419</v>
      </c>
    </row>
    <row r="51" spans="1:29" x14ac:dyDescent="0.25">
      <c r="A51" s="59" t="s">
        <v>241</v>
      </c>
      <c r="B51" s="59"/>
      <c r="C51" s="59"/>
      <c r="D51" s="59"/>
      <c r="E51" s="59"/>
      <c r="F51" s="59"/>
      <c r="G51" s="59"/>
      <c r="H51" s="59"/>
      <c r="I51" s="59"/>
      <c r="AC51" s="61" t="s">
        <v>420</v>
      </c>
    </row>
    <row r="52" spans="1:29" x14ac:dyDescent="0.25">
      <c r="A52" s="59" t="s">
        <v>289</v>
      </c>
      <c r="B52" s="59"/>
      <c r="C52" s="59"/>
      <c r="D52" s="59"/>
      <c r="E52" s="59"/>
      <c r="F52" s="59"/>
      <c r="G52" s="59"/>
      <c r="H52" s="59"/>
      <c r="I52" s="59"/>
      <c r="AB52" s="61">
        <f>(1&amp;AB49)*1</f>
        <v>1293</v>
      </c>
      <c r="AC52" s="61" t="s">
        <v>421</v>
      </c>
    </row>
    <row r="53" spans="1:29" x14ac:dyDescent="0.25">
      <c r="A53" s="59" t="s">
        <v>231</v>
      </c>
      <c r="B53" s="59"/>
      <c r="C53" s="59"/>
      <c r="D53" s="59"/>
      <c r="E53" s="59"/>
      <c r="F53" s="59"/>
      <c r="G53" s="59"/>
      <c r="H53" s="59"/>
      <c r="I53" s="59"/>
      <c r="AC53" s="61" t="s">
        <v>422</v>
      </c>
    </row>
    <row r="54" spans="1:29" x14ac:dyDescent="0.25">
      <c r="A54" s="59" t="s">
        <v>251</v>
      </c>
      <c r="B54" s="59"/>
      <c r="C54" s="59"/>
      <c r="D54" s="59"/>
      <c r="E54" s="59"/>
      <c r="F54" s="59"/>
      <c r="G54" s="59"/>
      <c r="H54" s="59"/>
      <c r="I54" s="59"/>
      <c r="AC54" s="61" t="s">
        <v>423</v>
      </c>
    </row>
    <row r="55" spans="1:29" x14ac:dyDescent="0.25">
      <c r="A55" s="59" t="s">
        <v>239</v>
      </c>
      <c r="B55" s="59"/>
      <c r="C55" s="59"/>
      <c r="D55" s="59"/>
      <c r="E55" s="59"/>
      <c r="F55" s="59"/>
      <c r="G55" s="59"/>
      <c r="H55" s="59"/>
      <c r="I55" s="59"/>
      <c r="AB55" s="61">
        <f>(2&amp;AB49)*1</f>
        <v>2293</v>
      </c>
      <c r="AC55" s="61" t="s">
        <v>433</v>
      </c>
    </row>
    <row r="56" spans="1:29" x14ac:dyDescent="0.25">
      <c r="A56" s="59" t="s">
        <v>275</v>
      </c>
      <c r="B56" s="59"/>
      <c r="C56" s="59"/>
      <c r="D56" s="59"/>
      <c r="E56" s="59"/>
      <c r="F56" s="59"/>
      <c r="G56" s="59"/>
      <c r="H56" s="59"/>
      <c r="I56" s="59"/>
      <c r="AC56" s="61" t="s">
        <v>422</v>
      </c>
    </row>
    <row r="57" spans="1:29" x14ac:dyDescent="0.25">
      <c r="A57" s="59" t="s">
        <v>257</v>
      </c>
      <c r="B57" s="59"/>
      <c r="C57" s="59"/>
      <c r="D57" s="59"/>
      <c r="E57" s="59"/>
      <c r="F57" s="59"/>
      <c r="G57" s="59"/>
      <c r="H57" s="59"/>
      <c r="I57" s="59"/>
      <c r="AC57" s="61" t="s">
        <v>425</v>
      </c>
    </row>
    <row r="58" spans="1:29" x14ac:dyDescent="0.25">
      <c r="A58" s="59" t="s">
        <v>283</v>
      </c>
      <c r="B58" s="59"/>
      <c r="C58" s="59"/>
      <c r="D58" s="59"/>
      <c r="E58" s="59"/>
      <c r="F58" s="59"/>
      <c r="G58" s="59"/>
      <c r="H58" s="59"/>
      <c r="I58" s="59"/>
      <c r="AB58" s="61">
        <f>(3&amp;AB49)*1</f>
        <v>3293</v>
      </c>
      <c r="AC58" s="61" t="s">
        <v>426</v>
      </c>
    </row>
    <row r="59" spans="1:29" x14ac:dyDescent="0.25">
      <c r="A59" s="59" t="s">
        <v>237</v>
      </c>
      <c r="B59" s="59"/>
      <c r="C59" s="59"/>
      <c r="D59" s="59"/>
      <c r="E59" s="59"/>
      <c r="F59" s="59"/>
      <c r="G59" s="59"/>
      <c r="H59" s="59"/>
      <c r="I59" s="59"/>
    </row>
    <row r="60" spans="1:29" x14ac:dyDescent="0.25">
      <c r="A60" s="59" t="s">
        <v>254</v>
      </c>
      <c r="B60" s="59"/>
      <c r="C60" s="59"/>
      <c r="D60" s="59"/>
      <c r="E60" s="59"/>
      <c r="F60" s="59"/>
      <c r="G60" s="59"/>
      <c r="H60" s="59"/>
      <c r="I60" s="59"/>
      <c r="AA60" s="61">
        <f>AB60</f>
        <v>296</v>
      </c>
      <c r="AB60" s="61">
        <f>RIGHT(AC60,3)*1</f>
        <v>296</v>
      </c>
      <c r="AC60" s="61" t="s">
        <v>439</v>
      </c>
    </row>
    <row r="61" spans="1:29" x14ac:dyDescent="0.25">
      <c r="A61" s="59" t="s">
        <v>223</v>
      </c>
      <c r="B61" s="59"/>
      <c r="C61" s="59"/>
      <c r="D61" s="59"/>
      <c r="E61" s="59"/>
      <c r="F61" s="59"/>
      <c r="G61" s="59"/>
      <c r="H61" s="59"/>
      <c r="I61" s="59"/>
      <c r="AC61" s="61" t="s">
        <v>419</v>
      </c>
    </row>
    <row r="62" spans="1:29" x14ac:dyDescent="0.25">
      <c r="A62" s="59" t="s">
        <v>225</v>
      </c>
      <c r="B62" s="59"/>
      <c r="C62" s="59"/>
      <c r="D62" s="59"/>
      <c r="E62" s="59"/>
      <c r="F62" s="59"/>
      <c r="G62" s="59"/>
      <c r="H62" s="59"/>
      <c r="I62" s="59"/>
      <c r="AC62" s="61" t="s">
        <v>420</v>
      </c>
    </row>
    <row r="63" spans="1:29" x14ac:dyDescent="0.25">
      <c r="A63" s="59" t="s">
        <v>224</v>
      </c>
      <c r="B63" s="59"/>
      <c r="C63" s="59"/>
      <c r="D63" s="59"/>
      <c r="E63" s="59"/>
      <c r="F63" s="59"/>
      <c r="G63" s="59"/>
      <c r="H63" s="59"/>
      <c r="I63" s="59"/>
      <c r="AB63" s="61">
        <f>(1&amp;AB60)*1</f>
        <v>1296</v>
      </c>
      <c r="AC63" s="61" t="s">
        <v>436</v>
      </c>
    </row>
    <row r="64" spans="1:29" x14ac:dyDescent="0.25">
      <c r="A64" s="59" t="s">
        <v>252</v>
      </c>
      <c r="B64" s="59"/>
      <c r="C64" s="59"/>
      <c r="D64" s="59"/>
      <c r="E64" s="59"/>
      <c r="F64" s="59"/>
      <c r="G64" s="59"/>
      <c r="H64" s="59"/>
      <c r="I64" s="59"/>
      <c r="AC64" s="61" t="s">
        <v>422</v>
      </c>
    </row>
    <row r="65" spans="1:29" x14ac:dyDescent="0.25">
      <c r="A65" s="59" t="s">
        <v>226</v>
      </c>
      <c r="B65" s="59"/>
      <c r="C65" s="59"/>
      <c r="D65" s="59"/>
      <c r="E65" s="59"/>
      <c r="F65" s="59"/>
      <c r="G65" s="59"/>
      <c r="H65" s="59"/>
      <c r="I65" s="59"/>
      <c r="AC65" s="61" t="s">
        <v>423</v>
      </c>
    </row>
    <row r="66" spans="1:29" x14ac:dyDescent="0.25">
      <c r="A66" s="59" t="s">
        <v>266</v>
      </c>
      <c r="B66" s="59"/>
      <c r="C66" s="59"/>
      <c r="D66" s="59"/>
      <c r="E66" s="59"/>
      <c r="F66" s="59"/>
      <c r="G66" s="59"/>
      <c r="H66" s="59"/>
      <c r="I66" s="59"/>
      <c r="AB66" s="61">
        <f>(2&amp;AB60)*1</f>
        <v>2296</v>
      </c>
      <c r="AC66" s="61" t="s">
        <v>437</v>
      </c>
    </row>
    <row r="67" spans="1:29" x14ac:dyDescent="0.25">
      <c r="A67" s="59" t="s">
        <v>236</v>
      </c>
      <c r="B67" s="59"/>
      <c r="C67" s="59"/>
      <c r="D67" s="59"/>
      <c r="E67" s="59"/>
      <c r="F67" s="59"/>
      <c r="G67" s="59"/>
      <c r="H67" s="59"/>
      <c r="I67" s="59"/>
      <c r="AC67" s="61" t="s">
        <v>422</v>
      </c>
    </row>
    <row r="68" spans="1:29" x14ac:dyDescent="0.25">
      <c r="A68" s="59" t="s">
        <v>287</v>
      </c>
      <c r="B68" s="59"/>
      <c r="C68" s="59"/>
      <c r="D68" s="59"/>
      <c r="E68" s="59"/>
      <c r="F68" s="59"/>
      <c r="G68" s="59"/>
      <c r="H68" s="59"/>
      <c r="I68" s="59"/>
      <c r="AC68" s="61" t="s">
        <v>425</v>
      </c>
    </row>
    <row r="69" spans="1:29" x14ac:dyDescent="0.25">
      <c r="A69" s="59" t="s">
        <v>262</v>
      </c>
      <c r="B69" s="59"/>
      <c r="C69" s="59"/>
      <c r="D69" s="59"/>
      <c r="E69" s="59"/>
      <c r="F69" s="59"/>
      <c r="G69" s="59"/>
      <c r="H69" s="59"/>
      <c r="I69" s="59"/>
      <c r="AB69" s="61">
        <f>(3&amp;AB60)*1</f>
        <v>3296</v>
      </c>
      <c r="AC69" s="61" t="s">
        <v>438</v>
      </c>
    </row>
    <row r="70" spans="1:29" x14ac:dyDescent="0.25">
      <c r="A70" s="59" t="s">
        <v>255</v>
      </c>
      <c r="B70" s="59"/>
      <c r="C70" s="59"/>
      <c r="D70" s="59"/>
      <c r="E70" s="59"/>
      <c r="F70" s="59"/>
      <c r="G70" s="59"/>
      <c r="H70" s="59"/>
      <c r="I70" s="59"/>
    </row>
    <row r="71" spans="1:29" x14ac:dyDescent="0.25">
      <c r="A71" s="59" t="s">
        <v>235</v>
      </c>
      <c r="B71" s="59"/>
      <c r="C71" s="59"/>
      <c r="D71" s="59"/>
      <c r="E71" s="59"/>
      <c r="F71" s="59"/>
      <c r="G71" s="59"/>
      <c r="H71" s="59"/>
      <c r="I71" s="59"/>
      <c r="AA71" s="61">
        <f>AB71</f>
        <v>297</v>
      </c>
      <c r="AB71" s="61">
        <f>RIGHT(AC71,3)*1</f>
        <v>297</v>
      </c>
      <c r="AC71" s="61" t="s">
        <v>443</v>
      </c>
    </row>
    <row r="72" spans="1:29" x14ac:dyDescent="0.25">
      <c r="AC72" s="61" t="s">
        <v>419</v>
      </c>
    </row>
    <row r="73" spans="1:29" x14ac:dyDescent="0.25">
      <c r="AC73" s="61" t="s">
        <v>420</v>
      </c>
    </row>
    <row r="74" spans="1:29" x14ac:dyDescent="0.25">
      <c r="AB74" s="61">
        <f>(1&amp;AB71)*1</f>
        <v>1297</v>
      </c>
      <c r="AC74" s="61" t="s">
        <v>440</v>
      </c>
    </row>
    <row r="75" spans="1:29" x14ac:dyDescent="0.25">
      <c r="AC75" s="61" t="s">
        <v>422</v>
      </c>
    </row>
    <row r="76" spans="1:29" x14ac:dyDescent="0.25">
      <c r="AC76" s="61" t="s">
        <v>423</v>
      </c>
    </row>
    <row r="77" spans="1:29" x14ac:dyDescent="0.25">
      <c r="AB77" s="61">
        <f>(2&amp;AB71)*1</f>
        <v>2297</v>
      </c>
      <c r="AC77" s="61" t="s">
        <v>441</v>
      </c>
    </row>
    <row r="78" spans="1:29" x14ac:dyDescent="0.25">
      <c r="AC78" s="61" t="s">
        <v>422</v>
      </c>
    </row>
    <row r="79" spans="1:29" x14ac:dyDescent="0.25">
      <c r="AC79" s="61" t="s">
        <v>425</v>
      </c>
    </row>
    <row r="80" spans="1:29" x14ac:dyDescent="0.25">
      <c r="AB80" s="61">
        <f>(3&amp;AB71)*1</f>
        <v>3297</v>
      </c>
      <c r="AC80" s="61" t="s">
        <v>442</v>
      </c>
    </row>
    <row r="81" spans="27:29" x14ac:dyDescent="0.25">
      <c r="AC81" s="61" t="s">
        <v>422</v>
      </c>
    </row>
    <row r="83" spans="27:29" x14ac:dyDescent="0.25">
      <c r="AA83" s="61">
        <f>AB83</f>
        <v>298</v>
      </c>
      <c r="AB83" s="61">
        <f>RIGHT(AC83,3)*1</f>
        <v>298</v>
      </c>
      <c r="AC83" s="61" t="s">
        <v>447</v>
      </c>
    </row>
    <row r="84" spans="27:29" x14ac:dyDescent="0.25">
      <c r="AC84" s="61" t="s">
        <v>419</v>
      </c>
    </row>
    <row r="85" spans="27:29" x14ac:dyDescent="0.25">
      <c r="AC85" s="61" t="s">
        <v>420</v>
      </c>
    </row>
    <row r="86" spans="27:29" x14ac:dyDescent="0.25">
      <c r="AB86" s="61">
        <f>(1&amp;AB83)*1</f>
        <v>1298</v>
      </c>
      <c r="AC86" s="61" t="s">
        <v>444</v>
      </c>
    </row>
    <row r="87" spans="27:29" x14ac:dyDescent="0.25">
      <c r="AC87" s="61" t="s">
        <v>422</v>
      </c>
    </row>
    <row r="88" spans="27:29" x14ac:dyDescent="0.25">
      <c r="AC88" s="61" t="s">
        <v>423</v>
      </c>
    </row>
    <row r="89" spans="27:29" x14ac:dyDescent="0.25">
      <c r="AB89" s="61">
        <f>(2&amp;AB83)*1</f>
        <v>2298</v>
      </c>
      <c r="AC89" s="61" t="s">
        <v>445</v>
      </c>
    </row>
    <row r="90" spans="27:29" x14ac:dyDescent="0.25">
      <c r="AC90" s="61" t="s">
        <v>422</v>
      </c>
    </row>
    <row r="91" spans="27:29" x14ac:dyDescent="0.25">
      <c r="AC91" s="61" t="s">
        <v>425</v>
      </c>
    </row>
    <row r="92" spans="27:29" x14ac:dyDescent="0.25">
      <c r="AB92" s="61">
        <f>(3&amp;AB83)*1</f>
        <v>3298</v>
      </c>
      <c r="AC92" s="61" t="s">
        <v>446</v>
      </c>
    </row>
    <row r="93" spans="27:29" x14ac:dyDescent="0.25">
      <c r="AC93" s="61" t="s">
        <v>422</v>
      </c>
    </row>
    <row r="95" spans="27:29" x14ac:dyDescent="0.25">
      <c r="AA95" s="61">
        <f>AB95</f>
        <v>300</v>
      </c>
      <c r="AB95" s="61">
        <f>RIGHT(AC95,3)*1</f>
        <v>300</v>
      </c>
      <c r="AC95" s="61" t="s">
        <v>450</v>
      </c>
    </row>
    <row r="96" spans="27:29" x14ac:dyDescent="0.25">
      <c r="AC96" s="61" t="s">
        <v>419</v>
      </c>
    </row>
    <row r="97" spans="27:29" x14ac:dyDescent="0.25">
      <c r="AC97" s="61" t="s">
        <v>420</v>
      </c>
    </row>
    <row r="98" spans="27:29" x14ac:dyDescent="0.25">
      <c r="AB98" s="61">
        <f>(1&amp;AB95)*1</f>
        <v>1300</v>
      </c>
      <c r="AC98" s="61" t="s">
        <v>448</v>
      </c>
    </row>
    <row r="99" spans="27:29" x14ac:dyDescent="0.25">
      <c r="AC99" s="61" t="s">
        <v>422</v>
      </c>
    </row>
    <row r="100" spans="27:29" x14ac:dyDescent="0.25">
      <c r="AC100" s="61" t="s">
        <v>423</v>
      </c>
    </row>
    <row r="101" spans="27:29" x14ac:dyDescent="0.25">
      <c r="AB101" s="61">
        <f>(2&amp;AB95)*1</f>
        <v>2300</v>
      </c>
      <c r="AC101" s="61" t="s">
        <v>449</v>
      </c>
    </row>
    <row r="102" spans="27:29" x14ac:dyDescent="0.25">
      <c r="AC102" s="61" t="s">
        <v>422</v>
      </c>
    </row>
    <row r="103" spans="27:29" x14ac:dyDescent="0.25">
      <c r="AC103" s="61" t="s">
        <v>425</v>
      </c>
    </row>
    <row r="104" spans="27:29" x14ac:dyDescent="0.25">
      <c r="AB104" s="61">
        <f>(3&amp;AB95)*1</f>
        <v>3300</v>
      </c>
      <c r="AC104" s="61" t="s">
        <v>426</v>
      </c>
    </row>
    <row r="105" spans="27:29" x14ac:dyDescent="0.25">
      <c r="AC105" s="61" t="s">
        <v>422</v>
      </c>
    </row>
    <row r="107" spans="27:29" x14ac:dyDescent="0.25">
      <c r="AA107" s="61">
        <f>AB107</f>
        <v>290</v>
      </c>
      <c r="AB107" s="61">
        <f>RIGHT(AC107,3)*1</f>
        <v>290</v>
      </c>
      <c r="AC107" s="61" t="s">
        <v>453</v>
      </c>
    </row>
    <row r="108" spans="27:29" x14ac:dyDescent="0.25">
      <c r="AC108" s="61" t="s">
        <v>419</v>
      </c>
    </row>
    <row r="109" spans="27:29" x14ac:dyDescent="0.25">
      <c r="AC109" s="61" t="s">
        <v>420</v>
      </c>
    </row>
    <row r="110" spans="27:29" x14ac:dyDescent="0.25">
      <c r="AB110" s="61">
        <f>(1&amp;AB107)*1</f>
        <v>1290</v>
      </c>
      <c r="AC110" s="61" t="s">
        <v>421</v>
      </c>
    </row>
    <row r="111" spans="27:29" x14ac:dyDescent="0.25">
      <c r="AC111" s="61" t="s">
        <v>422</v>
      </c>
    </row>
    <row r="112" spans="27:29" x14ac:dyDescent="0.25">
      <c r="AC112" s="61" t="s">
        <v>423</v>
      </c>
    </row>
    <row r="113" spans="27:29" x14ac:dyDescent="0.25">
      <c r="AB113" s="61">
        <f>(2&amp;AB107)*1</f>
        <v>2290</v>
      </c>
      <c r="AC113" s="61" t="s">
        <v>451</v>
      </c>
    </row>
    <row r="114" spans="27:29" x14ac:dyDescent="0.25">
      <c r="AC114" s="61" t="s">
        <v>422</v>
      </c>
    </row>
    <row r="115" spans="27:29" x14ac:dyDescent="0.25">
      <c r="AC115" s="61" t="s">
        <v>425</v>
      </c>
    </row>
    <row r="116" spans="27:29" x14ac:dyDescent="0.25">
      <c r="AB116" s="61">
        <f>(3&amp;AB107)*1</f>
        <v>3290</v>
      </c>
      <c r="AC116" s="61" t="s">
        <v>452</v>
      </c>
    </row>
    <row r="117" spans="27:29" x14ac:dyDescent="0.25">
      <c r="AC117" s="61" t="s">
        <v>422</v>
      </c>
    </row>
    <row r="119" spans="27:29" x14ac:dyDescent="0.25">
      <c r="AA119" s="61">
        <f>AB119</f>
        <v>291</v>
      </c>
      <c r="AB119" s="61">
        <f>RIGHT(AC119,3)*1</f>
        <v>291</v>
      </c>
      <c r="AC119" s="61" t="s">
        <v>457</v>
      </c>
    </row>
    <row r="120" spans="27:29" x14ac:dyDescent="0.25">
      <c r="AC120" s="61" t="s">
        <v>419</v>
      </c>
    </row>
    <row r="121" spans="27:29" x14ac:dyDescent="0.25">
      <c r="AC121" s="61" t="s">
        <v>420</v>
      </c>
    </row>
    <row r="122" spans="27:29" x14ac:dyDescent="0.25">
      <c r="AB122" s="61">
        <f>(1&amp;AB119)*1</f>
        <v>1291</v>
      </c>
      <c r="AC122" s="61" t="s">
        <v>454</v>
      </c>
    </row>
    <row r="123" spans="27:29" x14ac:dyDescent="0.25">
      <c r="AC123" s="61" t="s">
        <v>422</v>
      </c>
    </row>
    <row r="124" spans="27:29" x14ac:dyDescent="0.25">
      <c r="AC124" s="61" t="s">
        <v>423</v>
      </c>
    </row>
    <row r="125" spans="27:29" x14ac:dyDescent="0.25">
      <c r="AB125" s="61">
        <f>(2&amp;AB119)*1</f>
        <v>2291</v>
      </c>
      <c r="AC125" s="61" t="s">
        <v>455</v>
      </c>
    </row>
    <row r="126" spans="27:29" x14ac:dyDescent="0.25">
      <c r="AC126" s="61" t="s">
        <v>422</v>
      </c>
    </row>
    <row r="127" spans="27:29" x14ac:dyDescent="0.25">
      <c r="AC127" s="61" t="s">
        <v>425</v>
      </c>
    </row>
    <row r="128" spans="27:29" x14ac:dyDescent="0.25">
      <c r="AB128" s="61">
        <f>(3&amp;AB119)*1</f>
        <v>3291</v>
      </c>
      <c r="AC128" s="61" t="s">
        <v>456</v>
      </c>
    </row>
    <row r="129" spans="27:29" x14ac:dyDescent="0.25">
      <c r="AC129" s="61" t="s">
        <v>422</v>
      </c>
    </row>
    <row r="131" spans="27:29" x14ac:dyDescent="0.25">
      <c r="AA131" s="61">
        <f>AB131</f>
        <v>294</v>
      </c>
      <c r="AB131" s="61">
        <f>RIGHT(AC131,3)*1</f>
        <v>294</v>
      </c>
      <c r="AC131" s="61" t="s">
        <v>461</v>
      </c>
    </row>
    <row r="132" spans="27:29" x14ac:dyDescent="0.25">
      <c r="AC132" s="61" t="s">
        <v>419</v>
      </c>
    </row>
    <row r="133" spans="27:29" x14ac:dyDescent="0.25">
      <c r="AC133" s="61" t="s">
        <v>420</v>
      </c>
    </row>
    <row r="134" spans="27:29" x14ac:dyDescent="0.25">
      <c r="AB134" s="61">
        <f>(1&amp;AB131)*1</f>
        <v>1294</v>
      </c>
      <c r="AC134" s="61" t="s">
        <v>458</v>
      </c>
    </row>
    <row r="135" spans="27:29" x14ac:dyDescent="0.25">
      <c r="AC135" s="61" t="s">
        <v>422</v>
      </c>
    </row>
    <row r="136" spans="27:29" x14ac:dyDescent="0.25">
      <c r="AC136" s="61" t="s">
        <v>423</v>
      </c>
    </row>
    <row r="137" spans="27:29" x14ac:dyDescent="0.25">
      <c r="AB137" s="61">
        <f>(2&amp;AB131)*1</f>
        <v>2294</v>
      </c>
      <c r="AC137" s="61" t="s">
        <v>459</v>
      </c>
    </row>
    <row r="138" spans="27:29" x14ac:dyDescent="0.25">
      <c r="AC138" s="61" t="s">
        <v>422</v>
      </c>
    </row>
    <row r="139" spans="27:29" x14ac:dyDescent="0.25">
      <c r="AC139" s="61" t="s">
        <v>425</v>
      </c>
    </row>
    <row r="140" spans="27:29" x14ac:dyDescent="0.25">
      <c r="AB140" s="61">
        <f>(3&amp;AB131)*1</f>
        <v>3294</v>
      </c>
      <c r="AC140" s="61" t="s">
        <v>460</v>
      </c>
    </row>
    <row r="142" spans="27:29" x14ac:dyDescent="0.25">
      <c r="AA142" s="61">
        <f>AB142</f>
        <v>307</v>
      </c>
      <c r="AB142" s="61">
        <f>RIGHT(AC142,3)*1</f>
        <v>307</v>
      </c>
      <c r="AC142" s="61" t="s">
        <v>465</v>
      </c>
    </row>
    <row r="143" spans="27:29" x14ac:dyDescent="0.25">
      <c r="AC143" s="61" t="s">
        <v>419</v>
      </c>
    </row>
    <row r="144" spans="27:29" x14ac:dyDescent="0.25">
      <c r="AC144" s="61" t="s">
        <v>420</v>
      </c>
    </row>
    <row r="145" spans="27:29" x14ac:dyDescent="0.25">
      <c r="AB145" s="61">
        <f>(1&amp;AB142)*1</f>
        <v>1307</v>
      </c>
      <c r="AC145" s="61" t="s">
        <v>462</v>
      </c>
    </row>
    <row r="146" spans="27:29" x14ac:dyDescent="0.25">
      <c r="AC146" s="61" t="s">
        <v>422</v>
      </c>
    </row>
    <row r="147" spans="27:29" x14ac:dyDescent="0.25">
      <c r="AC147" s="61" t="s">
        <v>423</v>
      </c>
    </row>
    <row r="148" spans="27:29" x14ac:dyDescent="0.25">
      <c r="AB148" s="61">
        <f>(2&amp;AB142)*1</f>
        <v>2307</v>
      </c>
      <c r="AC148" s="61" t="s">
        <v>463</v>
      </c>
    </row>
    <row r="149" spans="27:29" x14ac:dyDescent="0.25">
      <c r="AC149" s="61" t="s">
        <v>422</v>
      </c>
    </row>
    <row r="150" spans="27:29" x14ac:dyDescent="0.25">
      <c r="AC150" s="61" t="s">
        <v>425</v>
      </c>
    </row>
    <row r="151" spans="27:29" x14ac:dyDescent="0.25">
      <c r="AB151" s="61">
        <f>(3&amp;AB142)*1</f>
        <v>3307</v>
      </c>
      <c r="AC151" s="61" t="s">
        <v>464</v>
      </c>
    </row>
    <row r="152" spans="27:29" x14ac:dyDescent="0.25">
      <c r="AC152" s="61" t="s">
        <v>422</v>
      </c>
    </row>
    <row r="154" spans="27:29" x14ac:dyDescent="0.25">
      <c r="AA154" s="61">
        <f>AB154</f>
        <v>306</v>
      </c>
      <c r="AB154" s="61">
        <f>RIGHT(AC154,3)*1</f>
        <v>306</v>
      </c>
      <c r="AC154" s="61" t="s">
        <v>467</v>
      </c>
    </row>
    <row r="155" spans="27:29" x14ac:dyDescent="0.25">
      <c r="AC155" s="61" t="s">
        <v>419</v>
      </c>
    </row>
    <row r="156" spans="27:29" x14ac:dyDescent="0.25">
      <c r="AC156" s="61" t="s">
        <v>420</v>
      </c>
    </row>
    <row r="157" spans="27:29" x14ac:dyDescent="0.25">
      <c r="AB157" s="61">
        <f>(1&amp;AB154)*1</f>
        <v>1306</v>
      </c>
      <c r="AC157" s="61" t="s">
        <v>466</v>
      </c>
    </row>
    <row r="158" spans="27:29" x14ac:dyDescent="0.25">
      <c r="AC158" s="61" t="s">
        <v>422</v>
      </c>
    </row>
    <row r="159" spans="27:29" x14ac:dyDescent="0.25">
      <c r="AC159" s="61" t="s">
        <v>423</v>
      </c>
    </row>
    <row r="160" spans="27:29" x14ac:dyDescent="0.25">
      <c r="AB160" s="61">
        <f>(2&amp;AB154)*1</f>
        <v>2306</v>
      </c>
      <c r="AC160" s="61" t="s">
        <v>449</v>
      </c>
    </row>
    <row r="161" spans="27:29" x14ac:dyDescent="0.25">
      <c r="AC161" s="61" t="s">
        <v>422</v>
      </c>
    </row>
    <row r="162" spans="27:29" x14ac:dyDescent="0.25">
      <c r="AC162" s="61" t="s">
        <v>425</v>
      </c>
    </row>
    <row r="163" spans="27:29" x14ac:dyDescent="0.25">
      <c r="AB163" s="61">
        <f>(3&amp;AB154)*1</f>
        <v>3306</v>
      </c>
      <c r="AC163" s="61" t="s">
        <v>426</v>
      </c>
    </row>
    <row r="164" spans="27:29" x14ac:dyDescent="0.25">
      <c r="AC164" s="61" t="s">
        <v>422</v>
      </c>
    </row>
    <row r="166" spans="27:29" x14ac:dyDescent="0.25">
      <c r="AA166" s="61">
        <f>AB166</f>
        <v>302</v>
      </c>
      <c r="AB166" s="61">
        <f>RIGHT(AC166,3)*1</f>
        <v>302</v>
      </c>
      <c r="AC166" s="61" t="s">
        <v>471</v>
      </c>
    </row>
    <row r="167" spans="27:29" x14ac:dyDescent="0.25">
      <c r="AC167" s="61" t="s">
        <v>419</v>
      </c>
    </row>
    <row r="168" spans="27:29" x14ac:dyDescent="0.25">
      <c r="AC168" s="61" t="s">
        <v>420</v>
      </c>
    </row>
    <row r="169" spans="27:29" x14ac:dyDescent="0.25">
      <c r="AB169" s="61">
        <f>(1&amp;AB166)*1</f>
        <v>1302</v>
      </c>
      <c r="AC169" s="61" t="s">
        <v>468</v>
      </c>
    </row>
    <row r="170" spans="27:29" x14ac:dyDescent="0.25">
      <c r="AC170" s="61" t="s">
        <v>422</v>
      </c>
    </row>
    <row r="171" spans="27:29" x14ac:dyDescent="0.25">
      <c r="AC171" s="61" t="s">
        <v>423</v>
      </c>
    </row>
    <row r="172" spans="27:29" x14ac:dyDescent="0.25">
      <c r="AB172" s="61">
        <f>(2&amp;AB166)*1</f>
        <v>2302</v>
      </c>
      <c r="AC172" s="61" t="s">
        <v>469</v>
      </c>
    </row>
    <row r="173" spans="27:29" x14ac:dyDescent="0.25">
      <c r="AC173" s="61" t="s">
        <v>422</v>
      </c>
    </row>
    <row r="174" spans="27:29" x14ac:dyDescent="0.25">
      <c r="AC174" s="61" t="s">
        <v>425</v>
      </c>
    </row>
    <row r="175" spans="27:29" x14ac:dyDescent="0.25">
      <c r="AB175" s="61">
        <f>(3&amp;AB166)*1</f>
        <v>3302</v>
      </c>
      <c r="AC175" s="61" t="s">
        <v>470</v>
      </c>
    </row>
    <row r="176" spans="27:29" x14ac:dyDescent="0.25">
      <c r="AC176" s="61" t="s">
        <v>422</v>
      </c>
    </row>
    <row r="178" spans="27:29" x14ac:dyDescent="0.25">
      <c r="AA178" s="61">
        <f>AB178</f>
        <v>308</v>
      </c>
      <c r="AB178" s="61">
        <f>RIGHT(AC178,3)*1</f>
        <v>308</v>
      </c>
      <c r="AC178" s="61" t="s">
        <v>472</v>
      </c>
    </row>
    <row r="179" spans="27:29" x14ac:dyDescent="0.25">
      <c r="AC179" s="61" t="s">
        <v>419</v>
      </c>
    </row>
    <row r="180" spans="27:29" x14ac:dyDescent="0.25">
      <c r="AC180" s="61" t="s">
        <v>420</v>
      </c>
    </row>
    <row r="181" spans="27:29" x14ac:dyDescent="0.25">
      <c r="AB181" s="61">
        <f>(1&amp;AB178)*1</f>
        <v>1308</v>
      </c>
      <c r="AC181" s="61" t="s">
        <v>468</v>
      </c>
    </row>
    <row r="182" spans="27:29" x14ac:dyDescent="0.25">
      <c r="AC182" s="61" t="s">
        <v>422</v>
      </c>
    </row>
    <row r="183" spans="27:29" x14ac:dyDescent="0.25">
      <c r="AC183" s="61" t="s">
        <v>423</v>
      </c>
    </row>
    <row r="184" spans="27:29" x14ac:dyDescent="0.25">
      <c r="AB184" s="61">
        <f>(2&amp;AB178)*1</f>
        <v>2308</v>
      </c>
      <c r="AC184" s="61" t="s">
        <v>469</v>
      </c>
    </row>
    <row r="185" spans="27:29" x14ac:dyDescent="0.25">
      <c r="AC185" s="61" t="s">
        <v>422</v>
      </c>
    </row>
    <row r="186" spans="27:29" x14ac:dyDescent="0.25">
      <c r="AC186" s="61" t="s">
        <v>425</v>
      </c>
    </row>
    <row r="187" spans="27:29" x14ac:dyDescent="0.25">
      <c r="AB187" s="61">
        <f>(3&amp;AB178)*1</f>
        <v>3308</v>
      </c>
      <c r="AC187" s="61" t="s">
        <v>470</v>
      </c>
    </row>
    <row r="188" spans="27:29" x14ac:dyDescent="0.25">
      <c r="AC188" s="61" t="s">
        <v>422</v>
      </c>
    </row>
    <row r="190" spans="27:29" x14ac:dyDescent="0.25">
      <c r="AA190" s="61">
        <f>AB190</f>
        <v>299</v>
      </c>
      <c r="AB190" s="61">
        <f>RIGHT(AC190,3)*1</f>
        <v>299</v>
      </c>
      <c r="AC190" s="61" t="s">
        <v>477</v>
      </c>
    </row>
    <row r="191" spans="27:29" x14ac:dyDescent="0.25">
      <c r="AC191" s="61" t="s">
        <v>473</v>
      </c>
    </row>
    <row r="192" spans="27:29" x14ac:dyDescent="0.25">
      <c r="AC192" s="61" t="s">
        <v>420</v>
      </c>
    </row>
    <row r="193" spans="27:29" x14ac:dyDescent="0.25">
      <c r="AB193" s="61">
        <f>(1&amp;AB190)*1</f>
        <v>1299</v>
      </c>
      <c r="AC193" s="61" t="s">
        <v>454</v>
      </c>
    </row>
    <row r="194" spans="27:29" x14ac:dyDescent="0.25">
      <c r="AC194" s="61" t="s">
        <v>422</v>
      </c>
    </row>
    <row r="195" spans="27:29" x14ac:dyDescent="0.25">
      <c r="AC195" s="61" t="s">
        <v>423</v>
      </c>
    </row>
    <row r="196" spans="27:29" x14ac:dyDescent="0.25">
      <c r="AB196" s="61">
        <f>(2&amp;AB190)*1</f>
        <v>2299</v>
      </c>
      <c r="AC196" s="61" t="s">
        <v>474</v>
      </c>
    </row>
    <row r="197" spans="27:29" x14ac:dyDescent="0.25">
      <c r="AC197" s="61" t="s">
        <v>422</v>
      </c>
    </row>
    <row r="198" spans="27:29" x14ac:dyDescent="0.25">
      <c r="AC198" s="61" t="s">
        <v>425</v>
      </c>
    </row>
    <row r="199" spans="27:29" x14ac:dyDescent="0.25">
      <c r="AB199" s="61">
        <f>(3&amp;AB190)*1</f>
        <v>3299</v>
      </c>
      <c r="AC199" s="61" t="s">
        <v>475</v>
      </c>
    </row>
    <row r="200" spans="27:29" x14ac:dyDescent="0.25">
      <c r="AC200" s="61" t="s">
        <v>422</v>
      </c>
    </row>
    <row r="201" spans="27:29" x14ac:dyDescent="0.25">
      <c r="AC201" s="61" t="s">
        <v>139</v>
      </c>
    </row>
    <row r="202" spans="27:29" x14ac:dyDescent="0.25">
      <c r="AB202" s="61">
        <f>(3&amp;AB190)*1</f>
        <v>3299</v>
      </c>
      <c r="AC202" s="61" t="s">
        <v>476</v>
      </c>
    </row>
    <row r="203" spans="27:29" x14ac:dyDescent="0.25">
      <c r="AC203" s="61" t="s">
        <v>422</v>
      </c>
    </row>
    <row r="205" spans="27:29" x14ac:dyDescent="0.25">
      <c r="AA205" s="61">
        <f>AB205</f>
        <v>305</v>
      </c>
      <c r="AB205" s="61">
        <f>RIGHT(AC205,3)*1</f>
        <v>305</v>
      </c>
      <c r="AC205" s="61" t="s">
        <v>479</v>
      </c>
    </row>
    <row r="206" spans="27:29" x14ac:dyDescent="0.25">
      <c r="AC206" s="61" t="s">
        <v>419</v>
      </c>
    </row>
    <row r="207" spans="27:29" x14ac:dyDescent="0.25">
      <c r="AC207" s="61" t="s">
        <v>420</v>
      </c>
    </row>
    <row r="208" spans="27:29" x14ac:dyDescent="0.25">
      <c r="AB208" s="61">
        <f>(1&amp;AB205)*1</f>
        <v>1305</v>
      </c>
      <c r="AC208" s="61" t="s">
        <v>458</v>
      </c>
    </row>
    <row r="209" spans="27:29" x14ac:dyDescent="0.25">
      <c r="AC209" s="61" t="s">
        <v>422</v>
      </c>
    </row>
    <row r="210" spans="27:29" x14ac:dyDescent="0.25">
      <c r="AC210" s="61" t="s">
        <v>423</v>
      </c>
    </row>
    <row r="211" spans="27:29" x14ac:dyDescent="0.25">
      <c r="AB211" s="61">
        <f>(2&amp;AB205)*1</f>
        <v>2305</v>
      </c>
      <c r="AC211" s="61" t="s">
        <v>459</v>
      </c>
    </row>
    <row r="212" spans="27:29" x14ac:dyDescent="0.25">
      <c r="AC212" s="61" t="s">
        <v>422</v>
      </c>
    </row>
    <row r="213" spans="27:29" x14ac:dyDescent="0.25">
      <c r="AC213" s="61" t="s">
        <v>425</v>
      </c>
    </row>
    <row r="214" spans="27:29" x14ac:dyDescent="0.25">
      <c r="AB214" s="61">
        <f>(3&amp;AB205)*1</f>
        <v>3305</v>
      </c>
      <c r="AC214" s="61" t="s">
        <v>478</v>
      </c>
    </row>
    <row r="215" spans="27:29" x14ac:dyDescent="0.25">
      <c r="AC215" s="61" t="s">
        <v>422</v>
      </c>
    </row>
    <row r="217" spans="27:29" x14ac:dyDescent="0.25">
      <c r="AA217" s="61">
        <f>AB217</f>
        <v>309</v>
      </c>
      <c r="AB217" s="61">
        <f>RIGHT(AC217,3)*1</f>
        <v>309</v>
      </c>
      <c r="AC217" s="61" t="s">
        <v>482</v>
      </c>
    </row>
    <row r="218" spans="27:29" x14ac:dyDescent="0.25">
      <c r="AC218" s="61" t="s">
        <v>419</v>
      </c>
    </row>
    <row r="219" spans="27:29" x14ac:dyDescent="0.25">
      <c r="AC219" s="61" t="s">
        <v>420</v>
      </c>
    </row>
    <row r="220" spans="27:29" x14ac:dyDescent="0.25">
      <c r="AB220" s="61">
        <f>(1&amp;AB217)*1</f>
        <v>1309</v>
      </c>
      <c r="AC220" s="61" t="s">
        <v>454</v>
      </c>
    </row>
    <row r="221" spans="27:29" x14ac:dyDescent="0.25">
      <c r="AC221" s="61" t="s">
        <v>422</v>
      </c>
    </row>
    <row r="222" spans="27:29" x14ac:dyDescent="0.25">
      <c r="AC222" s="61" t="s">
        <v>423</v>
      </c>
    </row>
    <row r="223" spans="27:29" x14ac:dyDescent="0.25">
      <c r="AB223" s="61">
        <f>(2&amp;AB217)*1</f>
        <v>2309</v>
      </c>
      <c r="AC223" s="61" t="s">
        <v>480</v>
      </c>
    </row>
    <row r="224" spans="27:29" x14ac:dyDescent="0.25">
      <c r="AC224" s="61" t="s">
        <v>422</v>
      </c>
    </row>
    <row r="225" spans="27:29" x14ac:dyDescent="0.25">
      <c r="AC225" s="61" t="s">
        <v>425</v>
      </c>
    </row>
    <row r="226" spans="27:29" x14ac:dyDescent="0.25">
      <c r="AB226" s="61">
        <f>(3&amp;AB217)*1</f>
        <v>3309</v>
      </c>
      <c r="AC226" s="61" t="s">
        <v>481</v>
      </c>
    </row>
    <row r="227" spans="27:29" x14ac:dyDescent="0.25">
      <c r="AC227" s="61" t="s">
        <v>422</v>
      </c>
    </row>
    <row r="229" spans="27:29" x14ac:dyDescent="0.25">
      <c r="AA229" s="61">
        <f>AB229</f>
        <v>311</v>
      </c>
      <c r="AB229" s="61">
        <f>RIGHT(AC229,3)*1</f>
        <v>311</v>
      </c>
      <c r="AC229" s="61" t="s">
        <v>483</v>
      </c>
    </row>
    <row r="230" spans="27:29" x14ac:dyDescent="0.25">
      <c r="AC230" s="61" t="s">
        <v>419</v>
      </c>
    </row>
    <row r="231" spans="27:29" x14ac:dyDescent="0.25">
      <c r="AC231" s="61" t="s">
        <v>420</v>
      </c>
    </row>
    <row r="232" spans="27:29" x14ac:dyDescent="0.25">
      <c r="AB232" s="61">
        <f>(1&amp;AB229)*1</f>
        <v>1311</v>
      </c>
      <c r="AC232" s="61" t="s">
        <v>421</v>
      </c>
    </row>
    <row r="233" spans="27:29" x14ac:dyDescent="0.25">
      <c r="AC233" s="61" t="s">
        <v>422</v>
      </c>
    </row>
    <row r="234" spans="27:29" x14ac:dyDescent="0.25">
      <c r="AC234" s="61" t="s">
        <v>423</v>
      </c>
    </row>
    <row r="235" spans="27:29" x14ac:dyDescent="0.25">
      <c r="AB235" s="61">
        <f>(2&amp;AB229)*1</f>
        <v>2311</v>
      </c>
      <c r="AC235" s="61" t="s">
        <v>433</v>
      </c>
    </row>
    <row r="236" spans="27:29" x14ac:dyDescent="0.25">
      <c r="AC236" s="61" t="s">
        <v>422</v>
      </c>
    </row>
    <row r="237" spans="27:29" x14ac:dyDescent="0.25">
      <c r="AC237" s="61" t="s">
        <v>425</v>
      </c>
    </row>
    <row r="238" spans="27:29" x14ac:dyDescent="0.25">
      <c r="AB238" s="61">
        <f>(3&amp;AB229)*1</f>
        <v>3311</v>
      </c>
      <c r="AC238" s="61" t="s">
        <v>426</v>
      </c>
    </row>
    <row r="239" spans="27:29" x14ac:dyDescent="0.25">
      <c r="AC239" s="61" t="s">
        <v>422</v>
      </c>
    </row>
    <row r="241" spans="27:29" x14ac:dyDescent="0.25">
      <c r="AA241" s="61">
        <f>AB241</f>
        <v>310</v>
      </c>
      <c r="AB241" s="61">
        <f>RIGHT(AC241,3)*1</f>
        <v>310</v>
      </c>
      <c r="AC241" s="61" t="s">
        <v>486</v>
      </c>
    </row>
    <row r="242" spans="27:29" x14ac:dyDescent="0.25">
      <c r="AC242" s="61" t="s">
        <v>419</v>
      </c>
    </row>
    <row r="243" spans="27:29" x14ac:dyDescent="0.25">
      <c r="AC243" s="61" t="s">
        <v>420</v>
      </c>
    </row>
    <row r="244" spans="27:29" x14ac:dyDescent="0.25">
      <c r="AB244" s="61">
        <f>(1&amp;AB241)*1</f>
        <v>1310</v>
      </c>
      <c r="AC244" s="61" t="s">
        <v>421</v>
      </c>
    </row>
    <row r="245" spans="27:29" x14ac:dyDescent="0.25">
      <c r="AC245" s="61" t="s">
        <v>422</v>
      </c>
    </row>
    <row r="246" spans="27:29" x14ac:dyDescent="0.25">
      <c r="AC246" s="61" t="s">
        <v>423</v>
      </c>
    </row>
    <row r="247" spans="27:29" x14ac:dyDescent="0.25">
      <c r="AB247" s="61">
        <f>(2&amp;AB241)*1</f>
        <v>2310</v>
      </c>
      <c r="AC247" s="61" t="s">
        <v>484</v>
      </c>
    </row>
    <row r="248" spans="27:29" x14ac:dyDescent="0.25">
      <c r="AC248" s="61" t="s">
        <v>422</v>
      </c>
    </row>
    <row r="249" spans="27:29" x14ac:dyDescent="0.25">
      <c r="AC249" s="61" t="s">
        <v>425</v>
      </c>
    </row>
    <row r="250" spans="27:29" x14ac:dyDescent="0.25">
      <c r="AB250" s="61">
        <f>(3&amp;AB241)*1</f>
        <v>3310</v>
      </c>
      <c r="AC250" s="61" t="s">
        <v>485</v>
      </c>
    </row>
    <row r="252" spans="27:29" x14ac:dyDescent="0.25">
      <c r="AA252" s="61">
        <f>AB252</f>
        <v>303</v>
      </c>
      <c r="AB252" s="61">
        <f>RIGHT(AC252,3)*1</f>
        <v>303</v>
      </c>
      <c r="AC252" s="61" t="s">
        <v>489</v>
      </c>
    </row>
    <row r="253" spans="27:29" x14ac:dyDescent="0.25">
      <c r="AC253" s="61" t="s">
        <v>419</v>
      </c>
    </row>
    <row r="254" spans="27:29" x14ac:dyDescent="0.25">
      <c r="AC254" s="61" t="s">
        <v>420</v>
      </c>
    </row>
    <row r="255" spans="27:29" x14ac:dyDescent="0.25">
      <c r="AB255" s="61">
        <f>(1&amp;AB252)*1</f>
        <v>1303</v>
      </c>
      <c r="AC255" s="61" t="s">
        <v>440</v>
      </c>
    </row>
    <row r="256" spans="27:29" x14ac:dyDescent="0.25">
      <c r="AC256" s="61" t="s">
        <v>422</v>
      </c>
    </row>
    <row r="257" spans="27:29" x14ac:dyDescent="0.25">
      <c r="AC257" s="61" t="s">
        <v>423</v>
      </c>
    </row>
    <row r="258" spans="27:29" x14ac:dyDescent="0.25">
      <c r="AB258" s="61">
        <f>(2&amp;AB252)*1</f>
        <v>2303</v>
      </c>
      <c r="AC258" s="61" t="s">
        <v>487</v>
      </c>
    </row>
    <row r="259" spans="27:29" x14ac:dyDescent="0.25">
      <c r="AC259" s="61" t="s">
        <v>422</v>
      </c>
    </row>
    <row r="260" spans="27:29" x14ac:dyDescent="0.25">
      <c r="AC260" s="61" t="s">
        <v>425</v>
      </c>
    </row>
    <row r="261" spans="27:29" x14ac:dyDescent="0.25">
      <c r="AB261" s="61">
        <f>(3&amp;AB252)*1</f>
        <v>3303</v>
      </c>
      <c r="AC261" s="61" t="s">
        <v>488</v>
      </c>
    </row>
    <row r="262" spans="27:29" x14ac:dyDescent="0.25">
      <c r="AC262" s="61" t="s">
        <v>422</v>
      </c>
    </row>
    <row r="264" spans="27:29" x14ac:dyDescent="0.25">
      <c r="AA264" s="61">
        <f>AB264</f>
        <v>304</v>
      </c>
      <c r="AB264" s="61">
        <f>RIGHT(AC264,3)*1</f>
        <v>304</v>
      </c>
      <c r="AC264" s="61" t="s">
        <v>493</v>
      </c>
    </row>
    <row r="265" spans="27:29" x14ac:dyDescent="0.25">
      <c r="AC265" s="61" t="s">
        <v>419</v>
      </c>
    </row>
    <row r="266" spans="27:29" x14ac:dyDescent="0.25">
      <c r="AC266" s="61" t="s">
        <v>420</v>
      </c>
    </row>
    <row r="267" spans="27:29" x14ac:dyDescent="0.25">
      <c r="AB267" s="61">
        <f>(1&amp;AB264)*1</f>
        <v>1304</v>
      </c>
      <c r="AC267" s="61" t="s">
        <v>490</v>
      </c>
    </row>
    <row r="268" spans="27:29" x14ac:dyDescent="0.25">
      <c r="AC268" s="61" t="s">
        <v>422</v>
      </c>
    </row>
    <row r="269" spans="27:29" x14ac:dyDescent="0.25">
      <c r="AC269" s="61" t="s">
        <v>423</v>
      </c>
    </row>
    <row r="270" spans="27:29" x14ac:dyDescent="0.25">
      <c r="AB270" s="61">
        <f>(2&amp;AB264)*1</f>
        <v>2304</v>
      </c>
      <c r="AC270" s="61" t="s">
        <v>491</v>
      </c>
    </row>
    <row r="271" spans="27:29" x14ac:dyDescent="0.25">
      <c r="AC271" s="61" t="s">
        <v>422</v>
      </c>
    </row>
    <row r="272" spans="27:29" x14ac:dyDescent="0.25">
      <c r="AC272" s="61" t="s">
        <v>425</v>
      </c>
    </row>
    <row r="273" spans="27:29" x14ac:dyDescent="0.25">
      <c r="AB273" s="61">
        <f>(3&amp;AB264)*1</f>
        <v>3304</v>
      </c>
      <c r="AC273" s="61" t="s">
        <v>492</v>
      </c>
    </row>
    <row r="274" spans="27:29" x14ac:dyDescent="0.25">
      <c r="AC274" s="61" t="s">
        <v>422</v>
      </c>
    </row>
    <row r="277" spans="27:29" x14ac:dyDescent="0.25">
      <c r="AA277" s="61">
        <f>AB277</f>
        <v>301</v>
      </c>
      <c r="AB277" s="61">
        <f>RIGHT(AC277,3)*1</f>
        <v>301</v>
      </c>
      <c r="AC277" s="61" t="s">
        <v>496</v>
      </c>
    </row>
    <row r="278" spans="27:29" x14ac:dyDescent="0.25">
      <c r="AC278" s="61" t="s">
        <v>419</v>
      </c>
    </row>
    <row r="279" spans="27:29" x14ac:dyDescent="0.25">
      <c r="AC279" s="61" t="s">
        <v>420</v>
      </c>
    </row>
    <row r="280" spans="27:29" x14ac:dyDescent="0.25">
      <c r="AB280" s="61">
        <f>(1&amp;AB277)*1</f>
        <v>1301</v>
      </c>
      <c r="AC280" s="61" t="s">
        <v>494</v>
      </c>
    </row>
    <row r="281" spans="27:29" x14ac:dyDescent="0.25">
      <c r="AC281" s="61" t="s">
        <v>422</v>
      </c>
    </row>
    <row r="282" spans="27:29" x14ac:dyDescent="0.25">
      <c r="AC282" s="61" t="s">
        <v>423</v>
      </c>
    </row>
    <row r="283" spans="27:29" x14ac:dyDescent="0.25">
      <c r="AB283" s="61">
        <f>(2&amp;AB277)*1</f>
        <v>2301</v>
      </c>
      <c r="AC283" s="61" t="s">
        <v>433</v>
      </c>
    </row>
    <row r="284" spans="27:29" x14ac:dyDescent="0.25">
      <c r="AC284" s="61" t="s">
        <v>422</v>
      </c>
    </row>
    <row r="285" spans="27:29" x14ac:dyDescent="0.25">
      <c r="AC285" s="61" t="s">
        <v>425</v>
      </c>
    </row>
    <row r="286" spans="27:29" x14ac:dyDescent="0.25">
      <c r="AB286" s="61">
        <f>(3&amp;AB277)*1</f>
        <v>3301</v>
      </c>
      <c r="AC286" s="61" t="s">
        <v>495</v>
      </c>
    </row>
    <row r="287" spans="27:29" x14ac:dyDescent="0.25">
      <c r="AC287" s="61" t="s">
        <v>422</v>
      </c>
    </row>
    <row r="289" spans="27:29" x14ac:dyDescent="0.25">
      <c r="AA289" s="61">
        <f>AB289</f>
        <v>281</v>
      </c>
      <c r="AB289" s="61">
        <f>RIGHT(AC289,3)*1</f>
        <v>281</v>
      </c>
      <c r="AC289" s="61" t="s">
        <v>571</v>
      </c>
    </row>
    <row r="290" spans="27:29" x14ac:dyDescent="0.25">
      <c r="AC290" s="61" t="s">
        <v>419</v>
      </c>
    </row>
    <row r="291" spans="27:29" x14ac:dyDescent="0.25">
      <c r="AC291" s="61" t="s">
        <v>420</v>
      </c>
    </row>
    <row r="292" spans="27:29" x14ac:dyDescent="0.25">
      <c r="AB292" s="61">
        <f>(1&amp;AB289)*1</f>
        <v>1281</v>
      </c>
      <c r="AC292" s="61" t="s">
        <v>570</v>
      </c>
    </row>
    <row r="293" spans="27:29" x14ac:dyDescent="0.25">
      <c r="AC293" s="61" t="s">
        <v>422</v>
      </c>
    </row>
    <row r="294" spans="27:29" x14ac:dyDescent="0.25">
      <c r="AC294" s="61" t="s">
        <v>423</v>
      </c>
    </row>
    <row r="295" spans="27:29" x14ac:dyDescent="0.25">
      <c r="AB295" s="61">
        <f>(2&amp;AB289)*1</f>
        <v>2281</v>
      </c>
      <c r="AC295" s="108" t="s">
        <v>433</v>
      </c>
    </row>
    <row r="296" spans="27:29" x14ac:dyDescent="0.25">
      <c r="AC296" s="61" t="s">
        <v>422</v>
      </c>
    </row>
    <row r="297" spans="27:29" x14ac:dyDescent="0.25">
      <c r="AC297" s="61" t="s">
        <v>425</v>
      </c>
    </row>
    <row r="298" spans="27:29" x14ac:dyDescent="0.25">
      <c r="AB298" s="61">
        <f>(3&amp;AB289)*1</f>
        <v>3281</v>
      </c>
      <c r="AC298" s="108" t="s">
        <v>426</v>
      </c>
    </row>
    <row r="300" spans="27:29" x14ac:dyDescent="0.25">
      <c r="AA300" s="61">
        <f>AB300</f>
        <v>259</v>
      </c>
      <c r="AB300" s="61">
        <f>RIGHT(AC300,3)*1</f>
        <v>259</v>
      </c>
      <c r="AC300" s="61" t="s">
        <v>573</v>
      </c>
    </row>
    <row r="301" spans="27:29" x14ac:dyDescent="0.25">
      <c r="AC301" s="61" t="s">
        <v>419</v>
      </c>
    </row>
    <row r="302" spans="27:29" x14ac:dyDescent="0.25">
      <c r="AC302" s="61" t="s">
        <v>420</v>
      </c>
    </row>
    <row r="303" spans="27:29" x14ac:dyDescent="0.25">
      <c r="AB303" s="61">
        <f>(1&amp;AB300)*1</f>
        <v>1259</v>
      </c>
      <c r="AC303" s="61" t="s">
        <v>574</v>
      </c>
    </row>
    <row r="304" spans="27:29" x14ac:dyDescent="0.25">
      <c r="AC304" s="61" t="s">
        <v>422</v>
      </c>
    </row>
    <row r="305" spans="27:29" x14ac:dyDescent="0.25">
      <c r="AC305" s="61" t="s">
        <v>423</v>
      </c>
    </row>
    <row r="306" spans="27:29" x14ac:dyDescent="0.25">
      <c r="AB306" s="61">
        <f>(2&amp;AB300)*1</f>
        <v>2259</v>
      </c>
      <c r="AC306" s="61" t="s">
        <v>575</v>
      </c>
    </row>
    <row r="307" spans="27:29" x14ac:dyDescent="0.25">
      <c r="AC307" s="61" t="s">
        <v>422</v>
      </c>
    </row>
    <row r="308" spans="27:29" x14ac:dyDescent="0.25">
      <c r="AC308" s="61" t="s">
        <v>425</v>
      </c>
    </row>
    <row r="309" spans="27:29" x14ac:dyDescent="0.25">
      <c r="AB309" s="61">
        <f>(3&amp;AB300)*1</f>
        <v>3259</v>
      </c>
      <c r="AC309" s="61" t="s">
        <v>576</v>
      </c>
    </row>
    <row r="311" spans="27:29" x14ac:dyDescent="0.25">
      <c r="AA311" s="61">
        <f>AB311</f>
        <v>269</v>
      </c>
      <c r="AB311" s="61">
        <f>RIGHT(AC311,3)*1</f>
        <v>269</v>
      </c>
      <c r="AC311" s="61" t="s">
        <v>578</v>
      </c>
    </row>
    <row r="312" spans="27:29" x14ac:dyDescent="0.25">
      <c r="AC312" s="61" t="s">
        <v>419</v>
      </c>
    </row>
    <row r="313" spans="27:29" x14ac:dyDescent="0.25">
      <c r="AC313" s="61" t="s">
        <v>420</v>
      </c>
    </row>
    <row r="314" spans="27:29" x14ac:dyDescent="0.25">
      <c r="AB314" s="61">
        <f>(1&amp;AB311)*1</f>
        <v>1269</v>
      </c>
      <c r="AC314" s="61" t="s">
        <v>454</v>
      </c>
    </row>
    <row r="315" spans="27:29" x14ac:dyDescent="0.25">
      <c r="AC315" s="61" t="s">
        <v>422</v>
      </c>
    </row>
    <row r="316" spans="27:29" x14ac:dyDescent="0.25">
      <c r="AC316" s="61" t="s">
        <v>423</v>
      </c>
    </row>
    <row r="317" spans="27:29" x14ac:dyDescent="0.25">
      <c r="AB317" s="61">
        <f>(2&amp;AB311)*1</f>
        <v>2269</v>
      </c>
      <c r="AC317" s="61" t="s">
        <v>579</v>
      </c>
    </row>
    <row r="318" spans="27:29" x14ac:dyDescent="0.25">
      <c r="AC318" s="61" t="s">
        <v>422</v>
      </c>
    </row>
    <row r="319" spans="27:29" x14ac:dyDescent="0.25">
      <c r="AC319" s="61" t="s">
        <v>425</v>
      </c>
    </row>
    <row r="320" spans="27:29" x14ac:dyDescent="0.25">
      <c r="AB320" s="61">
        <f>(3&amp;AB311)*1</f>
        <v>3269</v>
      </c>
      <c r="AC320" s="61" t="s">
        <v>474</v>
      </c>
    </row>
    <row r="322" spans="27:29" x14ac:dyDescent="0.25">
      <c r="AA322" s="61">
        <f>AB322</f>
        <v>137</v>
      </c>
      <c r="AB322" s="61">
        <f>RIGHT(AC322,3)*1</f>
        <v>137</v>
      </c>
      <c r="AC322" s="61" t="s">
        <v>581</v>
      </c>
    </row>
    <row r="323" spans="27:29" x14ac:dyDescent="0.25">
      <c r="AC323" s="61" t="s">
        <v>419</v>
      </c>
    </row>
    <row r="324" spans="27:29" x14ac:dyDescent="0.25">
      <c r="AC324" s="61" t="s">
        <v>420</v>
      </c>
    </row>
    <row r="325" spans="27:29" x14ac:dyDescent="0.25">
      <c r="AB325" s="61">
        <f>(1&amp;AB322)*1</f>
        <v>1137</v>
      </c>
      <c r="AC325" s="61" t="s">
        <v>582</v>
      </c>
    </row>
    <row r="326" spans="27:29" x14ac:dyDescent="0.25">
      <c r="AC326" s="61" t="s">
        <v>422</v>
      </c>
    </row>
    <row r="327" spans="27:29" x14ac:dyDescent="0.25">
      <c r="AC327" s="61" t="s">
        <v>423</v>
      </c>
    </row>
    <row r="328" spans="27:29" x14ac:dyDescent="0.25">
      <c r="AB328" s="61">
        <f>(2&amp;AB322)*1</f>
        <v>2137</v>
      </c>
      <c r="AC328" s="61" t="s">
        <v>583</v>
      </c>
    </row>
    <row r="329" spans="27:29" x14ac:dyDescent="0.25">
      <c r="AC329" s="61" t="s">
        <v>422</v>
      </c>
    </row>
    <row r="330" spans="27:29" x14ac:dyDescent="0.25">
      <c r="AC330" s="61" t="s">
        <v>425</v>
      </c>
    </row>
    <row r="331" spans="27:29" x14ac:dyDescent="0.25">
      <c r="AB331" s="61">
        <f>(3&amp;AB322)*1</f>
        <v>3137</v>
      </c>
      <c r="AC331" s="61" t="s">
        <v>584</v>
      </c>
    </row>
    <row r="333" spans="27:29" x14ac:dyDescent="0.25">
      <c r="AA333" s="61">
        <f>AB333</f>
        <v>295</v>
      </c>
      <c r="AB333" s="61">
        <f>RIGHT(AC333,3)*1</f>
        <v>295</v>
      </c>
      <c r="AC333" s="61" t="s">
        <v>586</v>
      </c>
    </row>
    <row r="334" spans="27:29" x14ac:dyDescent="0.25">
      <c r="AC334" s="61" t="s">
        <v>419</v>
      </c>
    </row>
    <row r="335" spans="27:29" x14ac:dyDescent="0.25">
      <c r="AC335" s="61" t="s">
        <v>420</v>
      </c>
    </row>
    <row r="336" spans="27:29" x14ac:dyDescent="0.25">
      <c r="AB336" s="61">
        <f>(1&amp;AB333)*1</f>
        <v>1295</v>
      </c>
      <c r="AC336" s="61" t="s">
        <v>587</v>
      </c>
    </row>
    <row r="337" spans="28:29" x14ac:dyDescent="0.25">
      <c r="AC337" s="61" t="s">
        <v>422</v>
      </c>
    </row>
    <row r="338" spans="28:29" x14ac:dyDescent="0.25">
      <c r="AC338" s="61" t="s">
        <v>423</v>
      </c>
    </row>
    <row r="339" spans="28:29" x14ac:dyDescent="0.25">
      <c r="AB339" s="61">
        <f>(2&amp;AB333)*1</f>
        <v>2295</v>
      </c>
      <c r="AC339" s="61" t="s">
        <v>588</v>
      </c>
    </row>
    <row r="340" spans="28:29" x14ac:dyDescent="0.25">
      <c r="AC340" s="61" t="s">
        <v>422</v>
      </c>
    </row>
    <row r="341" spans="28:29" x14ac:dyDescent="0.25">
      <c r="AC341" s="61" t="s">
        <v>425</v>
      </c>
    </row>
    <row r="342" spans="28:29" x14ac:dyDescent="0.25">
      <c r="AB342" s="61">
        <f>(3&amp;AB333)*1</f>
        <v>3295</v>
      </c>
      <c r="AC342" s="61" t="s">
        <v>470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9991A-6BFB-44CD-838C-A9C128ABA6C8}">
  <dimension ref="A1:L73"/>
  <sheetViews>
    <sheetView topLeftCell="A16" workbookViewId="0">
      <selection activeCell="D30" sqref="D30:D41"/>
    </sheetView>
  </sheetViews>
  <sheetFormatPr defaultRowHeight="15" x14ac:dyDescent="0.25"/>
  <cols>
    <col min="1" max="1" width="17.7109375" bestFit="1" customWidth="1"/>
    <col min="2" max="2" width="14.28515625" customWidth="1"/>
    <col min="3" max="3" width="80.42578125" bestFit="1" customWidth="1"/>
    <col min="12" max="12" width="28.5703125" bestFit="1" customWidth="1"/>
  </cols>
  <sheetData>
    <row r="1" spans="1:12" ht="30" x14ac:dyDescent="0.25">
      <c r="A1" s="107" t="s">
        <v>553</v>
      </c>
      <c r="D1" t="str" cm="1">
        <f t="array" ref="D1:D41">_xlfn._xlws.SORT(C2:C42)</f>
        <v/>
      </c>
      <c r="L1" s="107" t="s">
        <v>551</v>
      </c>
    </row>
    <row r="2" spans="1:12" ht="60" x14ac:dyDescent="0.25">
      <c r="A2" s="107"/>
      <c r="B2" s="107" t="s">
        <v>556</v>
      </c>
      <c r="C2" t="str">
        <f>SUBSTITUTE(SUBSTITUTE(SUBSTITUTE(B2,$L$1,""),$L$2,""),$L$3,"")</f>
        <v>Benefits</v>
      </c>
      <c r="D2" t="str">
        <v/>
      </c>
      <c r="L2" t="s">
        <v>552</v>
      </c>
    </row>
    <row r="3" spans="1:12" ht="60" x14ac:dyDescent="0.25">
      <c r="A3" s="107"/>
      <c r="B3" s="107" t="s">
        <v>557</v>
      </c>
      <c r="C3" t="str">
        <f t="shared" ref="C3:C66" si="0">SUBSTITUTE(SUBSTITUTE(SUBSTITUTE(B3,$L$1,""),$L$2,""),$L$3,"")</f>
        <v>Challenge</v>
      </c>
      <c r="D3" t="str">
        <v/>
      </c>
      <c r="L3" t="s">
        <v>553</v>
      </c>
    </row>
    <row r="4" spans="1:12" ht="120" x14ac:dyDescent="0.25">
      <c r="A4" s="107"/>
      <c r="B4" s="107" t="s">
        <v>558</v>
      </c>
      <c r="C4" t="str">
        <f t="shared" si="0"/>
        <v>Culture / Working Environment</v>
      </c>
      <c r="D4" t="str">
        <v/>
      </c>
    </row>
    <row r="5" spans="1:12" ht="60" x14ac:dyDescent="0.25">
      <c r="A5" s="107"/>
      <c r="B5" s="107" t="s">
        <v>559</v>
      </c>
      <c r="C5" t="str">
        <f t="shared" si="0"/>
        <v>Facility</v>
      </c>
      <c r="D5" t="str">
        <v/>
      </c>
    </row>
    <row r="6" spans="1:12" ht="90" x14ac:dyDescent="0.25">
      <c r="A6" s="107"/>
      <c r="B6" s="107" t="s">
        <v>560</v>
      </c>
      <c r="C6" t="str">
        <f t="shared" si="0"/>
        <v>Jobs within Field</v>
      </c>
      <c r="D6" t="str">
        <v/>
      </c>
    </row>
    <row r="7" spans="1:12" ht="165" x14ac:dyDescent="0.25">
      <c r="A7" s="107"/>
      <c r="B7" s="107" t="s">
        <v>561</v>
      </c>
      <c r="C7" t="str">
        <f t="shared" si="0"/>
        <v>Just Need a Job / Applied Various Places</v>
      </c>
      <c r="D7" t="str">
        <v/>
      </c>
    </row>
    <row r="8" spans="1:12" ht="105" x14ac:dyDescent="0.25">
      <c r="A8" s="107"/>
      <c r="B8" s="107" t="s">
        <v>562</v>
      </c>
      <c r="C8" t="str">
        <f t="shared" si="0"/>
        <v>Location or Convenience</v>
      </c>
      <c r="D8" t="str">
        <v/>
      </c>
    </row>
    <row r="9" spans="1:12" ht="105" x14ac:dyDescent="0.25">
      <c r="A9" s="107"/>
      <c r="B9" s="107" t="s">
        <v>563</v>
      </c>
      <c r="C9" t="str">
        <f t="shared" si="0"/>
        <v>Recognition and Growth</v>
      </c>
      <c r="D9" t="str">
        <v/>
      </c>
    </row>
    <row r="10" spans="1:12" ht="120" x14ac:dyDescent="0.25">
      <c r="A10" s="107"/>
      <c r="B10" s="107" t="s">
        <v>564</v>
      </c>
      <c r="C10" t="str">
        <f t="shared" si="0"/>
        <v>Referred by Family or Friend</v>
      </c>
      <c r="D10" t="str">
        <v/>
      </c>
    </row>
    <row r="11" spans="1:12" ht="105" x14ac:dyDescent="0.25">
      <c r="A11" s="107"/>
      <c r="B11" s="107" t="s">
        <v>565</v>
      </c>
      <c r="C11" t="str">
        <f t="shared" si="0"/>
        <v>Reputation and Brand</v>
      </c>
      <c r="D11" t="str">
        <v/>
      </c>
    </row>
    <row r="12" spans="1:12" ht="60" x14ac:dyDescent="0.25">
      <c r="A12" s="107"/>
      <c r="B12" s="107" t="s">
        <v>566</v>
      </c>
      <c r="C12" t="str">
        <f t="shared" si="0"/>
        <v>Salary</v>
      </c>
      <c r="D12" t="str">
        <v/>
      </c>
    </row>
    <row r="13" spans="1:12" ht="105" x14ac:dyDescent="0.25">
      <c r="A13" s="107"/>
      <c r="B13" s="107" t="s">
        <v>567</v>
      </c>
      <c r="C13" t="str">
        <f t="shared" si="0"/>
        <v>Working Hours</v>
      </c>
      <c r="D13" t="str">
        <v/>
      </c>
    </row>
    <row r="14" spans="1:12" x14ac:dyDescent="0.25">
      <c r="A14" s="107"/>
      <c r="B14" s="107"/>
      <c r="C14" t="str">
        <f t="shared" si="0"/>
        <v/>
      </c>
      <c r="D14" t="str">
        <v/>
      </c>
    </row>
    <row r="15" spans="1:12" x14ac:dyDescent="0.25">
      <c r="A15" s="107"/>
      <c r="B15" s="107"/>
      <c r="C15" t="str">
        <f t="shared" si="0"/>
        <v/>
      </c>
      <c r="D15" t="str">
        <v/>
      </c>
    </row>
    <row r="16" spans="1:12" x14ac:dyDescent="0.25">
      <c r="A16" s="107"/>
      <c r="B16" s="107"/>
      <c r="C16" t="str">
        <f t="shared" si="0"/>
        <v/>
      </c>
      <c r="D16" t="str">
        <v/>
      </c>
    </row>
    <row r="17" spans="1:4" x14ac:dyDescent="0.25">
      <c r="A17" s="107"/>
      <c r="B17" s="107"/>
      <c r="C17" t="str">
        <f t="shared" si="0"/>
        <v/>
      </c>
      <c r="D17" t="str">
        <v/>
      </c>
    </row>
    <row r="18" spans="1:4" x14ac:dyDescent="0.25">
      <c r="A18" s="107"/>
      <c r="B18" s="107"/>
      <c r="C18" t="str">
        <f t="shared" si="0"/>
        <v/>
      </c>
      <c r="D18" t="str">
        <v/>
      </c>
    </row>
    <row r="19" spans="1:4" x14ac:dyDescent="0.25">
      <c r="A19" s="107"/>
      <c r="B19" s="107"/>
      <c r="C19" t="str">
        <f t="shared" si="0"/>
        <v/>
      </c>
      <c r="D19" t="str">
        <v/>
      </c>
    </row>
    <row r="20" spans="1:4" x14ac:dyDescent="0.25">
      <c r="A20" s="107"/>
      <c r="B20" s="107"/>
      <c r="C20" t="str">
        <f t="shared" si="0"/>
        <v/>
      </c>
      <c r="D20" t="str">
        <v/>
      </c>
    </row>
    <row r="21" spans="1:4" x14ac:dyDescent="0.25">
      <c r="A21" s="107"/>
      <c r="B21" s="107"/>
      <c r="C21" t="str">
        <f t="shared" si="0"/>
        <v/>
      </c>
      <c r="D21" t="str">
        <v/>
      </c>
    </row>
    <row r="22" spans="1:4" x14ac:dyDescent="0.25">
      <c r="A22" s="107"/>
      <c r="B22" s="107"/>
      <c r="C22" t="str">
        <f t="shared" si="0"/>
        <v/>
      </c>
      <c r="D22" t="str">
        <v/>
      </c>
    </row>
    <row r="23" spans="1:4" x14ac:dyDescent="0.25">
      <c r="A23" s="107"/>
      <c r="B23" s="107"/>
      <c r="C23" t="str">
        <f t="shared" si="0"/>
        <v/>
      </c>
      <c r="D23" t="str">
        <v/>
      </c>
    </row>
    <row r="24" spans="1:4" x14ac:dyDescent="0.25">
      <c r="A24" s="107"/>
      <c r="B24" s="107"/>
      <c r="C24" t="str">
        <f t="shared" si="0"/>
        <v/>
      </c>
      <c r="D24" t="str">
        <v/>
      </c>
    </row>
    <row r="25" spans="1:4" x14ac:dyDescent="0.25">
      <c r="A25" s="107"/>
      <c r="B25" s="107"/>
      <c r="C25" t="str">
        <f t="shared" si="0"/>
        <v/>
      </c>
      <c r="D25" t="str">
        <v/>
      </c>
    </row>
    <row r="26" spans="1:4" x14ac:dyDescent="0.25">
      <c r="A26" s="107"/>
      <c r="B26" s="107"/>
      <c r="C26" t="str">
        <f t="shared" si="0"/>
        <v/>
      </c>
      <c r="D26" t="str">
        <v/>
      </c>
    </row>
    <row r="27" spans="1:4" x14ac:dyDescent="0.25">
      <c r="A27" s="107"/>
      <c r="B27" s="107"/>
      <c r="C27" t="str">
        <f t="shared" si="0"/>
        <v/>
      </c>
      <c r="D27" t="str">
        <v/>
      </c>
    </row>
    <row r="28" spans="1:4" x14ac:dyDescent="0.25">
      <c r="A28" s="107"/>
      <c r="B28" s="107"/>
      <c r="C28" t="str">
        <f t="shared" si="0"/>
        <v/>
      </c>
      <c r="D28" t="str">
        <v/>
      </c>
    </row>
    <row r="29" spans="1:4" x14ac:dyDescent="0.25">
      <c r="A29" s="107"/>
      <c r="B29" s="107"/>
      <c r="C29" t="str">
        <f t="shared" si="0"/>
        <v/>
      </c>
      <c r="D29" t="str">
        <v/>
      </c>
    </row>
    <row r="30" spans="1:4" x14ac:dyDescent="0.25">
      <c r="A30" s="107"/>
      <c r="B30" s="107"/>
      <c r="C30" t="str">
        <f t="shared" si="0"/>
        <v/>
      </c>
      <c r="D30" t="str">
        <v>Benefits</v>
      </c>
    </row>
    <row r="31" spans="1:4" x14ac:dyDescent="0.25">
      <c r="A31" s="107"/>
      <c r="B31" s="107"/>
      <c r="C31" t="str">
        <f t="shared" si="0"/>
        <v/>
      </c>
      <c r="D31" t="str">
        <v>Challenge</v>
      </c>
    </row>
    <row r="32" spans="1:4" x14ac:dyDescent="0.25">
      <c r="A32" s="107"/>
      <c r="B32" s="107"/>
      <c r="C32" t="str">
        <f t="shared" si="0"/>
        <v/>
      </c>
      <c r="D32" t="str">
        <v>Culture / Working Environment</v>
      </c>
    </row>
    <row r="33" spans="1:4" x14ac:dyDescent="0.25">
      <c r="A33" s="107"/>
      <c r="B33" s="107"/>
      <c r="C33" t="str">
        <f t="shared" si="0"/>
        <v/>
      </c>
      <c r="D33" t="str">
        <v>Facility</v>
      </c>
    </row>
    <row r="34" spans="1:4" x14ac:dyDescent="0.25">
      <c r="A34" s="107"/>
      <c r="B34" s="107"/>
      <c r="C34" t="str">
        <f t="shared" si="0"/>
        <v/>
      </c>
      <c r="D34" t="str">
        <v>Jobs within Field</v>
      </c>
    </row>
    <row r="35" spans="1:4" x14ac:dyDescent="0.25">
      <c r="A35" s="107"/>
      <c r="B35" s="107"/>
      <c r="C35" t="str">
        <f t="shared" si="0"/>
        <v/>
      </c>
      <c r="D35" t="str">
        <v>Just Need a Job / Applied Various Places</v>
      </c>
    </row>
    <row r="36" spans="1:4" x14ac:dyDescent="0.25">
      <c r="A36" s="107"/>
      <c r="B36" s="107"/>
      <c r="C36" t="str">
        <f t="shared" si="0"/>
        <v/>
      </c>
      <c r="D36" t="str">
        <v>Location or Convenience</v>
      </c>
    </row>
    <row r="37" spans="1:4" x14ac:dyDescent="0.25">
      <c r="A37" s="107"/>
      <c r="B37" s="107"/>
      <c r="C37" t="str">
        <f t="shared" si="0"/>
        <v/>
      </c>
      <c r="D37" t="str">
        <v>Recognition and Growth</v>
      </c>
    </row>
    <row r="38" spans="1:4" x14ac:dyDescent="0.25">
      <c r="A38" s="107"/>
      <c r="B38" s="107"/>
      <c r="C38" t="str">
        <f t="shared" si="0"/>
        <v/>
      </c>
      <c r="D38" t="str">
        <v>Referred by Family or Friend</v>
      </c>
    </row>
    <row r="39" spans="1:4" x14ac:dyDescent="0.25">
      <c r="A39" s="107"/>
      <c r="B39" s="107"/>
      <c r="C39" t="str">
        <f t="shared" si="0"/>
        <v/>
      </c>
      <c r="D39" t="str">
        <v>Reputation and Brand</v>
      </c>
    </row>
    <row r="40" spans="1:4" x14ac:dyDescent="0.25">
      <c r="A40" s="107"/>
      <c r="B40" s="107"/>
      <c r="C40" t="str">
        <f t="shared" si="0"/>
        <v/>
      </c>
      <c r="D40" t="str">
        <v>Salary</v>
      </c>
    </row>
    <row r="41" spans="1:4" x14ac:dyDescent="0.25">
      <c r="A41" s="107"/>
      <c r="B41" s="107"/>
      <c r="C41" t="str">
        <f t="shared" si="0"/>
        <v/>
      </c>
      <c r="D41" t="str">
        <v>Working Hours</v>
      </c>
    </row>
    <row r="42" spans="1:4" x14ac:dyDescent="0.25">
      <c r="A42" s="107"/>
      <c r="B42" s="107"/>
      <c r="C42" t="str">
        <f t="shared" si="0"/>
        <v/>
      </c>
    </row>
    <row r="43" spans="1:4" x14ac:dyDescent="0.25">
      <c r="A43" s="107"/>
      <c r="B43" s="107"/>
      <c r="C43" t="str">
        <f t="shared" si="0"/>
        <v/>
      </c>
    </row>
    <row r="44" spans="1:4" x14ac:dyDescent="0.25">
      <c r="A44" s="107"/>
      <c r="B44" s="107"/>
      <c r="C44" t="str">
        <f t="shared" si="0"/>
        <v/>
      </c>
    </row>
    <row r="45" spans="1:4" x14ac:dyDescent="0.25">
      <c r="A45" s="107"/>
      <c r="B45" s="107"/>
      <c r="C45" t="str">
        <f t="shared" si="0"/>
        <v/>
      </c>
    </row>
    <row r="46" spans="1:4" x14ac:dyDescent="0.25">
      <c r="A46" s="107"/>
      <c r="B46" s="107"/>
      <c r="C46" t="str">
        <f t="shared" si="0"/>
        <v/>
      </c>
    </row>
    <row r="47" spans="1:4" x14ac:dyDescent="0.25">
      <c r="A47" s="107"/>
      <c r="B47" s="107"/>
      <c r="C47" t="str">
        <f t="shared" si="0"/>
        <v/>
      </c>
    </row>
    <row r="48" spans="1:4" x14ac:dyDescent="0.25">
      <c r="A48" s="107"/>
      <c r="B48" s="107"/>
      <c r="C48" t="str">
        <f t="shared" si="0"/>
        <v/>
      </c>
    </row>
    <row r="49" spans="1:3" x14ac:dyDescent="0.25">
      <c r="A49" s="107"/>
      <c r="B49" s="107"/>
      <c r="C49" t="str">
        <f t="shared" si="0"/>
        <v/>
      </c>
    </row>
    <row r="50" spans="1:3" x14ac:dyDescent="0.25">
      <c r="A50" s="107"/>
      <c r="B50" s="107"/>
      <c r="C50" t="str">
        <f t="shared" si="0"/>
        <v/>
      </c>
    </row>
    <row r="51" spans="1:3" x14ac:dyDescent="0.25">
      <c r="A51" s="107"/>
      <c r="B51" s="107"/>
      <c r="C51" t="str">
        <f t="shared" si="0"/>
        <v/>
      </c>
    </row>
    <row r="52" spans="1:3" x14ac:dyDescent="0.25">
      <c r="A52" s="107"/>
      <c r="B52" s="107"/>
      <c r="C52" t="str">
        <f t="shared" si="0"/>
        <v/>
      </c>
    </row>
    <row r="53" spans="1:3" x14ac:dyDescent="0.25">
      <c r="A53" s="107"/>
      <c r="B53" s="107"/>
      <c r="C53" t="str">
        <f t="shared" si="0"/>
        <v/>
      </c>
    </row>
    <row r="54" spans="1:3" x14ac:dyDescent="0.25">
      <c r="A54" s="107"/>
      <c r="B54" s="107"/>
      <c r="C54" t="str">
        <f t="shared" si="0"/>
        <v/>
      </c>
    </row>
    <row r="55" spans="1:3" x14ac:dyDescent="0.25">
      <c r="A55" s="107"/>
      <c r="B55" s="107"/>
      <c r="C55" t="str">
        <f t="shared" si="0"/>
        <v/>
      </c>
    </row>
    <row r="56" spans="1:3" x14ac:dyDescent="0.25">
      <c r="A56" s="107"/>
      <c r="B56" s="107"/>
      <c r="C56" t="str">
        <f t="shared" si="0"/>
        <v/>
      </c>
    </row>
    <row r="57" spans="1:3" x14ac:dyDescent="0.25">
      <c r="A57" s="107"/>
      <c r="B57" s="107"/>
      <c r="C57" t="str">
        <f t="shared" si="0"/>
        <v/>
      </c>
    </row>
    <row r="58" spans="1:3" x14ac:dyDescent="0.25">
      <c r="A58" s="107"/>
      <c r="B58" s="107"/>
      <c r="C58" t="str">
        <f t="shared" si="0"/>
        <v/>
      </c>
    </row>
    <row r="59" spans="1:3" x14ac:dyDescent="0.25">
      <c r="A59" s="107"/>
      <c r="B59" s="107"/>
      <c r="C59" t="str">
        <f t="shared" si="0"/>
        <v/>
      </c>
    </row>
    <row r="60" spans="1:3" x14ac:dyDescent="0.25">
      <c r="A60" s="107"/>
      <c r="B60" s="107"/>
      <c r="C60" t="str">
        <f t="shared" si="0"/>
        <v/>
      </c>
    </row>
    <row r="61" spans="1:3" x14ac:dyDescent="0.25">
      <c r="A61" s="107"/>
      <c r="B61" s="107"/>
      <c r="C61" t="str">
        <f t="shared" si="0"/>
        <v/>
      </c>
    </row>
    <row r="62" spans="1:3" x14ac:dyDescent="0.25">
      <c r="A62" s="107"/>
      <c r="B62" s="107"/>
      <c r="C62" t="str">
        <f t="shared" si="0"/>
        <v/>
      </c>
    </row>
    <row r="63" spans="1:3" x14ac:dyDescent="0.25">
      <c r="A63" s="107"/>
      <c r="B63" s="107"/>
      <c r="C63" t="str">
        <f t="shared" si="0"/>
        <v/>
      </c>
    </row>
    <row r="64" spans="1:3" x14ac:dyDescent="0.25">
      <c r="A64" s="107"/>
      <c r="B64" s="107"/>
      <c r="C64" t="str">
        <f t="shared" si="0"/>
        <v/>
      </c>
    </row>
    <row r="65" spans="1:3" x14ac:dyDescent="0.25">
      <c r="A65" s="107"/>
      <c r="B65" s="107"/>
      <c r="C65" t="str">
        <f t="shared" si="0"/>
        <v/>
      </c>
    </row>
    <row r="66" spans="1:3" x14ac:dyDescent="0.25">
      <c r="A66" s="107"/>
      <c r="B66" s="107"/>
      <c r="C66" t="str">
        <f t="shared" si="0"/>
        <v/>
      </c>
    </row>
    <row r="67" spans="1:3" x14ac:dyDescent="0.25">
      <c r="A67" s="107"/>
      <c r="B67" s="107"/>
      <c r="C67" t="str">
        <f t="shared" ref="C67:C73" si="1">SUBSTITUTE(SUBSTITUTE(SUBSTITUTE(B67,$L$1,""),$L$2,""),$L$3,"")</f>
        <v/>
      </c>
    </row>
    <row r="68" spans="1:3" x14ac:dyDescent="0.25">
      <c r="A68" s="107"/>
      <c r="B68" s="107"/>
      <c r="C68" t="str">
        <f t="shared" si="1"/>
        <v/>
      </c>
    </row>
    <row r="69" spans="1:3" x14ac:dyDescent="0.25">
      <c r="A69" s="107"/>
      <c r="B69" s="107"/>
      <c r="C69" t="str">
        <f t="shared" si="1"/>
        <v/>
      </c>
    </row>
    <row r="70" spans="1:3" x14ac:dyDescent="0.25">
      <c r="A70" s="107"/>
      <c r="B70" s="107"/>
      <c r="C70" t="str">
        <f t="shared" si="1"/>
        <v/>
      </c>
    </row>
    <row r="71" spans="1:3" x14ac:dyDescent="0.25">
      <c r="A71" s="107"/>
      <c r="B71" s="107"/>
      <c r="C71" t="str">
        <f t="shared" si="1"/>
        <v/>
      </c>
    </row>
    <row r="72" spans="1:3" x14ac:dyDescent="0.25">
      <c r="A72" s="107"/>
      <c r="B72" s="107"/>
      <c r="C72" t="str">
        <f t="shared" si="1"/>
        <v/>
      </c>
    </row>
    <row r="73" spans="1:3" x14ac:dyDescent="0.25">
      <c r="C73" t="str">
        <f t="shared" si="1"/>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23</vt:i4>
      </vt:variant>
    </vt:vector>
  </HeadingPairs>
  <TitlesOfParts>
    <vt:vector size="31" baseType="lpstr">
      <vt:lpstr>For HR use only</vt:lpstr>
      <vt:lpstr>How to</vt:lpstr>
      <vt:lpstr>Personal Information</vt:lpstr>
      <vt:lpstr>Employment History</vt:lpstr>
      <vt:lpstr>Essay</vt:lpstr>
      <vt:lpstr>Additional Information</vt:lpstr>
      <vt:lpstr>Ref Select</vt:lpstr>
      <vt:lpstr>Sheet1</vt:lpstr>
      <vt:lpstr>Account_Endorse</vt:lpstr>
      <vt:lpstr>Attitude</vt:lpstr>
      <vt:lpstr>Check</vt:lpstr>
      <vt:lpstr>Choosing</vt:lpstr>
      <vt:lpstr>ClientDispo</vt:lpstr>
      <vt:lpstr>Course</vt:lpstr>
      <vt:lpstr>CPA</vt:lpstr>
      <vt:lpstr>Degree</vt:lpstr>
      <vt:lpstr>Essay</vt:lpstr>
      <vt:lpstr>Gender</vt:lpstr>
      <vt:lpstr>HOLDREJECT</vt:lpstr>
      <vt:lpstr>JO</vt:lpstr>
      <vt:lpstr>Number</vt:lpstr>
      <vt:lpstr>OPSDispo</vt:lpstr>
      <vt:lpstr>OpsInter</vt:lpstr>
      <vt:lpstr>PA</vt:lpstr>
      <vt:lpstr>Reason</vt:lpstr>
      <vt:lpstr>Recomendation</vt:lpstr>
      <vt:lpstr>Source_Applicant</vt:lpstr>
      <vt:lpstr>Transpo</vt:lpstr>
      <vt:lpstr>Verbal</vt:lpstr>
      <vt:lpstr>YESNO</vt:lpstr>
      <vt:lpstr>YNN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Darwin Yambao</dc:creator>
  <cp:lastModifiedBy>Darwin Yambao</cp:lastModifiedBy>
  <dcterms:created xsi:type="dcterms:W3CDTF">2021-09-25T02:38:38Z</dcterms:created>
  <dcterms:modified xsi:type="dcterms:W3CDTF">2021-10-29T23:13:01Z</dcterms:modified>
</cp:coreProperties>
</file>